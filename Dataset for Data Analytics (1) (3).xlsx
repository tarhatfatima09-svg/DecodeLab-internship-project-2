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D62270-E6B6-4EDC-BD3A-FF03D3F01B1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P63" i="1"/>
  <c r="P64" i="1"/>
  <c r="P65" i="1"/>
  <c r="P80" i="1"/>
  <c r="P95" i="1"/>
  <c r="P97" i="1"/>
  <c r="P111" i="1"/>
  <c r="P112" i="1"/>
  <c r="P113" i="1"/>
  <c r="P144" i="1"/>
  <c r="P156" i="1"/>
  <c r="P207" i="1"/>
  <c r="P208" i="1"/>
  <c r="P209" i="1"/>
  <c r="P224" i="1"/>
  <c r="P225" i="1"/>
  <c r="P255" i="1"/>
  <c r="P256" i="1"/>
  <c r="P257" i="1"/>
  <c r="P271" i="1"/>
  <c r="P303" i="1"/>
  <c r="P304" i="1"/>
  <c r="P319" i="1"/>
  <c r="P320" i="1"/>
  <c r="P321" i="1"/>
  <c r="P336" i="1"/>
  <c r="P346" i="1"/>
  <c r="P351" i="1"/>
  <c r="P353" i="1"/>
  <c r="P367" i="1"/>
  <c r="P400" i="1"/>
  <c r="P415" i="1"/>
  <c r="P416" i="1"/>
  <c r="P417" i="1"/>
  <c r="P422" i="1"/>
  <c r="P423" i="1"/>
  <c r="P433" i="1"/>
  <c r="P463" i="1"/>
  <c r="P464" i="1"/>
  <c r="P511" i="1"/>
  <c r="P512" i="1"/>
  <c r="P513" i="1"/>
  <c r="P527" i="1"/>
  <c r="P528" i="1"/>
  <c r="P545" i="1"/>
  <c r="P559" i="1"/>
  <c r="P560" i="1"/>
  <c r="P575" i="1"/>
  <c r="P607" i="1"/>
  <c r="P656" i="1"/>
  <c r="P671" i="1"/>
  <c r="P672" i="1"/>
  <c r="P689" i="1"/>
  <c r="P719" i="1"/>
  <c r="P783" i="1"/>
  <c r="P784" i="1"/>
  <c r="P785" i="1"/>
  <c r="P801" i="1"/>
  <c r="P831" i="1"/>
  <c r="P832" i="1"/>
  <c r="P833" i="1"/>
  <c r="P848" i="1"/>
  <c r="P912" i="1"/>
  <c r="P927" i="1"/>
  <c r="P928" i="1"/>
  <c r="P929" i="1"/>
  <c r="P944" i="1"/>
  <c r="P945" i="1"/>
  <c r="P954" i="1"/>
  <c r="P955" i="1"/>
  <c r="P975" i="1"/>
  <c r="P992" i="1"/>
  <c r="P993" i="1"/>
  <c r="P1023" i="1"/>
  <c r="P1024" i="1"/>
  <c r="P1025" i="1"/>
  <c r="P1039" i="1"/>
  <c r="P1040" i="1"/>
  <c r="P1041" i="1"/>
  <c r="P1071" i="1"/>
  <c r="P1087" i="1"/>
  <c r="P1089" i="1"/>
  <c r="P1119" i="1"/>
  <c r="P1121" i="1"/>
  <c r="P1135" i="1"/>
  <c r="P1136" i="1"/>
  <c r="P1137" i="1"/>
  <c r="P1168" i="1"/>
  <c r="P1183" i="1"/>
  <c r="P1184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O64" i="1"/>
  <c r="O65" i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O96" i="1"/>
  <c r="P96" i="1" s="1"/>
  <c r="O97" i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O112" i="1"/>
  <c r="O113" i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O208" i="1"/>
  <c r="O209" i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O225" i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O256" i="1"/>
  <c r="O257" i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O304" i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O320" i="1"/>
  <c r="O321" i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O347" i="1"/>
  <c r="P347" i="1" s="1"/>
  <c r="O348" i="1"/>
  <c r="P348" i="1" s="1"/>
  <c r="O349" i="1"/>
  <c r="P349" i="1" s="1"/>
  <c r="O350" i="1"/>
  <c r="P350" i="1" s="1"/>
  <c r="O351" i="1"/>
  <c r="O352" i="1"/>
  <c r="P352" i="1" s="1"/>
  <c r="O353" i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O416" i="1"/>
  <c r="O417" i="1"/>
  <c r="O418" i="1"/>
  <c r="P418" i="1" s="1"/>
  <c r="O419" i="1"/>
  <c r="P419" i="1" s="1"/>
  <c r="O420" i="1"/>
  <c r="P420" i="1" s="1"/>
  <c r="O421" i="1"/>
  <c r="P421" i="1" s="1"/>
  <c r="O422" i="1"/>
  <c r="O423" i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O464" i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O512" i="1"/>
  <c r="O513" i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O528" i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O560" i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O672" i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O784" i="1"/>
  <c r="O785" i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O832" i="1"/>
  <c r="O833" i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O928" i="1"/>
  <c r="O929" i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O945" i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O955" i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O993" i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O1024" i="1"/>
  <c r="O1025" i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O1040" i="1"/>
  <c r="O1041" i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P1060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O1088" i="1"/>
  <c r="P1088" i="1" s="1"/>
  <c r="O1089" i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O1120" i="1"/>
  <c r="P1120" i="1" s="1"/>
  <c r="O1121" i="1"/>
  <c r="O1122" i="1"/>
  <c r="P1122" i="1" s="1"/>
  <c r="O1123" i="1"/>
  <c r="P1123" i="1" s="1"/>
  <c r="O1124" i="1"/>
  <c r="P1124" i="1" s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O1136" i="1"/>
  <c r="O1137" i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O1184" i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2" i="1"/>
  <c r="P2" i="1" s="1"/>
  <c r="M1207" i="1"/>
</calcChain>
</file>

<file path=xl/sharedStrings.xml><?xml version="1.0" encoding="utf-8"?>
<sst xmlns="http://schemas.openxmlformats.org/spreadsheetml/2006/main" count="10856" uniqueCount="4308">
  <si>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</si>
  <si>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</si>
  <si>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</si>
  <si>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</si>
  <si>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</si>
  <si>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</si>
  <si>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</si>
  <si>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</si>
  <si>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</si>
  <si>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</si>
  <si>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</si>
  <si>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</si>
  <si>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</si>
  <si>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</si>
  <si>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</si>
  <si>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</si>
  <si>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</si>
  <si>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</si>
  <si>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</si>
  <si>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</si>
  <si>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</si>
  <si>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</si>
  <si>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</si>
  <si>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</si>
  <si>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</si>
  <si>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</si>
  <si>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</si>
  <si>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</si>
  <si>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</si>
  <si>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</si>
  <si>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</si>
  <si>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</si>
  <si>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</si>
  <si>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</si>
  <si>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</si>
  <si>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</si>
  <si>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</si>
  <si>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</si>
  <si>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</si>
  <si>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</si>
  <si>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</si>
  <si>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</si>
  <si>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</si>
  <si>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</si>
  <si>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</si>
  <si>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</si>
  <si>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</si>
  <si>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</si>
  <si>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</si>
  <si>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</si>
  <si>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</si>
  <si>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</si>
  <si>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</si>
  <si>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</si>
  <si>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</si>
  <si>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</si>
  <si>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</si>
  <si>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</si>
  <si>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</si>
  <si>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</si>
  <si>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</si>
  <si>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</si>
  <si>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</si>
  <si>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</si>
  <si>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</si>
  <si>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</si>
  <si>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</si>
  <si>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</si>
  <si>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</si>
  <si>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</si>
  <si>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</si>
  <si>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</si>
  <si>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</si>
  <si>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</si>
  <si>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</si>
  <si>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</si>
  <si>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</si>
  <si>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</si>
  <si>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</si>
  <si>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</si>
  <si>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</si>
  <si>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</si>
  <si>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</si>
  <si>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</si>
  <si>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</si>
  <si>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</si>
  <si>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</si>
  <si>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</si>
  <si>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</si>
  <si>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</si>
  <si>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</si>
  <si>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</si>
  <si>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</si>
  <si>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</si>
  <si>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</si>
  <si>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</si>
  <si>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</si>
  <si>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</si>
  <si>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</si>
  <si>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</si>
  <si>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</si>
  <si>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</si>
  <si>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</si>
  <si>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</si>
  <si>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</si>
  <si>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</si>
  <si>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</si>
  <si>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</si>
  <si>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</si>
  <si>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</si>
  <si>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</si>
  <si>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</si>
  <si>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</si>
  <si>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</si>
  <si>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</si>
  <si>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</si>
  <si>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</si>
  <si>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</si>
  <si>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</si>
  <si>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</si>
  <si>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</si>
  <si>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</si>
  <si>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</si>
  <si>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</si>
  <si>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</si>
  <si>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</si>
  <si>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</si>
  <si>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</si>
  <si>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</si>
  <si>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</si>
  <si>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</si>
  <si>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</si>
  <si>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</si>
  <si>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</si>
  <si>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</si>
  <si>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</si>
  <si>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</si>
  <si>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</si>
  <si>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</si>
  <si>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</si>
  <si>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</si>
  <si>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</si>
  <si>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</si>
  <si>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</si>
  <si>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</si>
  <si>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</si>
  <si>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</si>
  <si>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</si>
  <si>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</si>
  <si>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</si>
  <si>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</si>
  <si>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</si>
  <si>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</si>
  <si>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</si>
  <si>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</si>
  <si>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</si>
  <si>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</si>
  <si>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</si>
  <si>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</si>
  <si>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</si>
  <si>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</si>
  <si>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</si>
  <si>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</si>
  <si>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</si>
  <si>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</si>
  <si>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</si>
  <si>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</si>
  <si>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</si>
  <si>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</si>
  <si>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</si>
  <si>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</si>
  <si>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</si>
  <si>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</si>
  <si>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</si>
  <si>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</si>
  <si>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</si>
  <si>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</si>
  <si>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</si>
  <si>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</si>
  <si>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</si>
  <si>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</si>
  <si>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</si>
  <si>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</si>
  <si>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</si>
  <si>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</si>
  <si>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</si>
  <si>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</si>
  <si>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</si>
  <si>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</si>
  <si>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</si>
  <si>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</si>
  <si>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</si>
  <si>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</si>
  <si>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</si>
  <si>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</si>
  <si>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</si>
  <si>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</si>
  <si>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</si>
  <si>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</si>
  <si>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</si>
  <si>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</si>
  <si>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</si>
  <si>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</si>
  <si>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</si>
  <si>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</si>
  <si>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</si>
  <si>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</si>
  <si>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</si>
  <si>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</si>
  <si>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</si>
  <si>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</si>
  <si>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</si>
  <si>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</si>
  <si>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</si>
  <si>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</si>
  <si>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</si>
  <si>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</si>
  <si>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</si>
  <si>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</si>
  <si>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</si>
  <si>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</si>
  <si>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</si>
  <si>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</si>
  <si>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</si>
  <si>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</si>
  <si>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</si>
  <si>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</si>
  <si>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</si>
  <si>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</si>
  <si>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</si>
  <si>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</si>
  <si>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</si>
  <si>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</si>
  <si>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</si>
  <si>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</si>
  <si>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</si>
  <si>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</si>
  <si>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</si>
  <si>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</si>
  <si>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</si>
  <si>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</si>
  <si>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</si>
  <si>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</si>
  <si>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</si>
  <si>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</si>
  <si>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</si>
  <si>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</si>
  <si>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</si>
  <si>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</si>
  <si>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</si>
  <si>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</si>
  <si>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</si>
  <si>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</si>
  <si>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</si>
  <si>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</si>
  <si>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</si>
  <si>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</si>
  <si>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</si>
  <si>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</si>
  <si>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</si>
  <si>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</si>
  <si>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</si>
  <si>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</si>
  <si>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</si>
  <si>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</si>
  <si>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</si>
  <si>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</si>
  <si>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</si>
  <si>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</si>
  <si>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</si>
  <si>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</si>
  <si>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</si>
  <si>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</si>
  <si>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</si>
  <si>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</si>
  <si>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</si>
  <si>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</si>
  <si>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</si>
  <si>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</si>
  <si>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</si>
  <si>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</si>
  <si>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</si>
  <si>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</si>
  <si>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</si>
  <si>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</si>
  <si>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</si>
  <si>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</si>
  <si>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</si>
  <si>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</si>
  <si>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</si>
  <si>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</si>
  <si>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</si>
  <si>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</si>
  <si>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</si>
  <si>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</si>
  <si>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</si>
  <si>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</si>
  <si>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</si>
  <si>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</si>
  <si>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</si>
  <si>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</si>
  <si>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</si>
  <si>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</si>
  <si>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</si>
  <si>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</si>
  <si>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</si>
  <si>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</si>
  <si>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</si>
  <si>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</si>
  <si>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</si>
  <si>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</si>
  <si>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</si>
  <si>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</si>
  <si>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</si>
  <si>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</si>
  <si>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</si>
  <si>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</si>
  <si>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</si>
  <si>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</si>
  <si>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</si>
  <si>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</si>
  <si>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</si>
  <si>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</si>
  <si>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</si>
  <si>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</si>
  <si>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</si>
  <si>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</si>
  <si>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</si>
  <si>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</si>
  <si>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</si>
  <si>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</si>
  <si>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</si>
  <si>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</si>
  <si>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</si>
  <si>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</si>
  <si>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</si>
  <si>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</si>
  <si>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</si>
  <si>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</si>
  <si>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</si>
  <si>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</si>
  <si>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</si>
  <si>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</si>
  <si>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</si>
  <si>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</si>
  <si>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</si>
  <si>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</si>
  <si>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</si>
  <si>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</si>
  <si>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</si>
  <si>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</si>
  <si>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</si>
  <si>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</si>
  <si>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</si>
  <si>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</si>
  <si>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</si>
  <si>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</si>
  <si>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</si>
  <si>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</si>
  <si>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</si>
  <si>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</si>
  <si>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</si>
  <si>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</si>
  <si>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</si>
  <si>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</si>
  <si>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</si>
  <si>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</si>
  <si>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</si>
  <si>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</si>
  <si>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</si>
  <si>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</si>
  <si>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</si>
  <si>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</si>
  <si>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</si>
  <si>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</si>
  <si>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</si>
  <si>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</si>
  <si>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</si>
  <si>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</si>
  <si>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</si>
  <si>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</si>
  <si>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</si>
  <si>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</si>
  <si>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</si>
  <si>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</si>
  <si>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</si>
  <si>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</si>
  <si>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</si>
  <si>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</si>
  <si>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</si>
  <si>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</si>
  <si>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</si>
  <si>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</si>
  <si>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</si>
  <si>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</si>
  <si>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</si>
  <si>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</si>
  <si>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</si>
  <si>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</si>
  <si>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</si>
  <si>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</si>
  <si>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</si>
  <si>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</si>
  <si>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</si>
  <si>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</si>
  <si>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</si>
  <si>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</si>
  <si>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</si>
  <si>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</si>
  <si>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</si>
  <si>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</si>
  <si>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</si>
  <si>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</si>
  <si>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</si>
  <si>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</si>
  <si>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</si>
  <si>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</si>
  <si>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</si>
  <si>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</si>
  <si>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</si>
  <si>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</si>
  <si>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</si>
  <si>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</si>
  <si>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</si>
  <si>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</si>
  <si>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</si>
  <si>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</si>
  <si>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</si>
  <si>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</si>
  <si>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</si>
  <si>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</si>
  <si>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</si>
  <si>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</si>
  <si>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</si>
  <si>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</si>
  <si>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</si>
  <si>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</si>
  <si>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</si>
  <si>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</si>
  <si>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</si>
  <si>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</si>
  <si>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</si>
  <si>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</si>
  <si>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</si>
  <si>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</si>
  <si>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</si>
  <si>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</si>
  <si>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</si>
  <si>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</si>
  <si>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</si>
  <si>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</si>
  <si>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</si>
  <si>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</si>
  <si>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</si>
  <si>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</si>
  <si>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</si>
  <si>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</si>
  <si>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</si>
  <si>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</si>
  <si>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</si>
  <si>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</si>
  <si>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</si>
  <si>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</si>
  <si>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</si>
  <si>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</si>
  <si>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</si>
  <si>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</si>
  <si>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</si>
  <si>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</si>
  <si>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</si>
  <si>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</si>
  <si>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</si>
  <si>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</si>
  <si>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</si>
  <si>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</si>
  <si>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</si>
  <si>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</si>
  <si>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</si>
  <si>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</si>
  <si>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</si>
  <si>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</si>
  <si>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</si>
  <si>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</si>
  <si>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</si>
  <si>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</si>
  <si>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</si>
  <si>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</si>
  <si>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</si>
  <si>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</si>
  <si>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</si>
  <si>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</si>
  <si>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</si>
  <si>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</si>
  <si>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</si>
  <si>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</si>
  <si>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</si>
  <si>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</si>
  <si>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</si>
  <si>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</si>
  <si>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</si>
  <si>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</si>
  <si>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</si>
  <si>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</si>
  <si>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</si>
  <si>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</si>
  <si>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</si>
  <si>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</si>
  <si>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</si>
  <si>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</si>
  <si>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</si>
  <si>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</si>
  <si>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</si>
  <si>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</si>
  <si>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</si>
  <si>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</si>
  <si>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</si>
  <si>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</si>
  <si>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</si>
  <si>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</si>
  <si>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</si>
  <si>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</si>
  <si>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</si>
  <si>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</si>
  <si>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</si>
  <si>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</si>
  <si>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</si>
  <si>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</si>
  <si>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</si>
  <si>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</si>
  <si>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</si>
  <si>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</si>
  <si>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</si>
  <si>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</si>
  <si>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</si>
  <si>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</si>
  <si>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</si>
  <si>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</si>
  <si>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</si>
  <si>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</si>
  <si>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</si>
  <si>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</si>
  <si>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</si>
  <si>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</si>
  <si>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</si>
  <si>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</si>
  <si>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</si>
  <si>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</si>
  <si>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</si>
  <si>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</si>
  <si>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</si>
  <si>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</si>
  <si>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</si>
  <si>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</si>
  <si>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</si>
  <si>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</si>
  <si>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</si>
  <si>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</si>
  <si>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</si>
  <si>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</si>
  <si>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</si>
  <si>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</si>
  <si>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</si>
  <si>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</si>
  <si>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</si>
  <si>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</si>
  <si>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</si>
  <si>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</si>
  <si>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</si>
  <si>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</si>
  <si>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</si>
  <si>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</si>
  <si>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</si>
  <si>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</si>
  <si>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</si>
  <si>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</si>
  <si>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</si>
  <si>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</si>
  <si>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</si>
  <si>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</si>
  <si>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</si>
  <si>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</si>
  <si>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</si>
  <si>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</si>
  <si>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</si>
  <si>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</si>
  <si>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</si>
  <si>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</si>
  <si>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</si>
  <si>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</si>
  <si>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</si>
  <si>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</si>
  <si>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</si>
  <si>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</si>
  <si>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</si>
  <si>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</si>
  <si>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</si>
  <si>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</si>
  <si>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</si>
  <si>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</si>
  <si>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</si>
  <si>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</si>
  <si>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</si>
  <si>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</si>
  <si>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</si>
  <si>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</si>
  <si>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</si>
  <si>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</si>
  <si>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</si>
  <si>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</si>
  <si>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</si>
  <si>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</si>
  <si>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</si>
  <si>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</si>
  <si>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</si>
  <si>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</si>
  <si>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</si>
  <si>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</si>
  <si>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</si>
  <si>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</si>
  <si>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</si>
  <si>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</si>
  <si>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</si>
  <si>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</si>
  <si>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</si>
  <si>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</si>
  <si>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</si>
  <si>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</si>
  <si>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</si>
  <si>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</si>
  <si>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</si>
  <si>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</si>
  <si>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</si>
  <si>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</si>
  <si>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</si>
  <si>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</si>
  <si>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</si>
  <si>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</si>
  <si>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</si>
  <si>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</si>
  <si>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</si>
  <si>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</si>
  <si>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</si>
  <si>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</si>
  <si>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</si>
  <si>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</si>
  <si>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</si>
  <si>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</si>
  <si>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</si>
  <si>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</si>
  <si>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</si>
  <si>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</si>
  <si>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</si>
  <si>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</si>
  <si>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</si>
  <si>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</si>
  <si>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</si>
  <si>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</si>
  <si>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</si>
  <si>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</si>
  <si>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</si>
  <si>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</si>
  <si>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</si>
  <si>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</si>
  <si>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</si>
  <si>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</si>
  <si>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</si>
  <si>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</si>
  <si>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</si>
  <si>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</si>
  <si>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</si>
  <si>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</si>
  <si>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</si>
  <si>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</si>
  <si>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</si>
  <si>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</si>
  <si>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</si>
  <si>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</si>
  <si>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</si>
  <si>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</si>
  <si>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</si>
  <si>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</si>
  <si>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</si>
  <si>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</si>
  <si>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</si>
  <si>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</si>
  <si>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</si>
  <si>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</si>
  <si>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</si>
  <si>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</si>
  <si>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</si>
  <si>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</si>
  <si>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</si>
  <si>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</si>
  <si>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</si>
  <si>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</si>
  <si>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</si>
  <si>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</si>
  <si>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</si>
  <si>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</si>
  <si>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</si>
  <si>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</si>
  <si>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</si>
  <si>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</si>
  <si>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</si>
  <si>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</si>
  <si>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</si>
  <si>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</si>
  <si>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</si>
  <si>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</si>
  <si>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</si>
  <si>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</si>
  <si>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</si>
  <si>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</si>
  <si>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</si>
  <si>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</si>
  <si>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</si>
  <si>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</si>
  <si>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</si>
  <si>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</si>
  <si>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</si>
  <si>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</si>
  <si>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</si>
  <si>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</si>
  <si>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</si>
  <si>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</si>
  <si>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</si>
  <si>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</si>
  <si>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</si>
  <si>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</si>
  <si>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</si>
  <si>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</si>
  <si>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</si>
  <si>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</si>
  <si>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</si>
  <si>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</si>
  <si>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</si>
  <si>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</si>
  <si>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</si>
  <si>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</si>
  <si>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</si>
  <si>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</si>
  <si>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</si>
  <si>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</si>
  <si>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</si>
  <si>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</si>
  <si>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</si>
  <si>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</si>
  <si>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</si>
  <si>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</si>
  <si>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</si>
  <si>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</si>
  <si>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</si>
  <si>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</si>
  <si>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</si>
  <si>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</si>
  <si>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</si>
  <si>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</si>
  <si>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</si>
  <si>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</si>
  <si>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</si>
  <si>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</si>
  <si>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</si>
  <si>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</si>
  <si>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</si>
  <si>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</si>
  <si>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</si>
  <si>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</si>
  <si>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</si>
  <si>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</si>
  <si>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</si>
  <si>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</si>
  <si>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</si>
  <si>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</si>
  <si>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</si>
  <si>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</si>
  <si>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</si>
  <si>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</si>
  <si>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</si>
  <si>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</si>
  <si>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</si>
  <si>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</si>
  <si>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</si>
  <si>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</si>
  <si>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</si>
  <si>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</si>
  <si>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</si>
  <si>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</si>
  <si>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</si>
  <si>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</si>
  <si>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</si>
  <si>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</si>
  <si>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</si>
  <si>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</si>
  <si>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</si>
  <si>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</si>
  <si>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</si>
  <si>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</si>
  <si>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</si>
  <si>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</si>
  <si>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</si>
  <si>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</si>
  <si>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</si>
  <si>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</si>
  <si>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</si>
  <si>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</si>
  <si>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</si>
  <si>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</si>
  <si>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</si>
  <si>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</si>
  <si>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</si>
  <si>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</si>
  <si>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</si>
  <si>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</si>
  <si>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</si>
  <si>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</si>
  <si>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</si>
  <si>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</si>
  <si>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</si>
  <si>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</si>
  <si>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</si>
  <si>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</si>
  <si>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</si>
  <si>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</si>
  <si>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</si>
  <si>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</si>
  <si>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</si>
  <si>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</si>
  <si>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</si>
  <si>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</si>
  <si>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</si>
  <si>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</si>
  <si>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</si>
  <si>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</si>
  <si>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</si>
  <si>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</si>
  <si>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</si>
  <si>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</si>
  <si>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</si>
  <si>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</si>
  <si>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</si>
  <si>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</si>
  <si>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</si>
  <si>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</si>
  <si>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</si>
  <si>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</si>
  <si>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</si>
  <si>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</si>
  <si>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</si>
  <si>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</si>
  <si>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</si>
  <si>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</si>
  <si>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</si>
  <si>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</si>
  <si>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</si>
  <si>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</si>
  <si>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</si>
  <si>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</si>
  <si>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</si>
  <si>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</si>
  <si>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</si>
  <si>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</si>
  <si>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</si>
  <si>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</si>
  <si>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</si>
  <si>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</si>
  <si>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</si>
  <si>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</si>
  <si>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</si>
  <si>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</si>
  <si>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</si>
  <si>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</si>
  <si>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</si>
  <si>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</si>
  <si>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</si>
  <si>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</si>
  <si>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</si>
  <si>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</si>
  <si>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</si>
  <si>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</si>
  <si>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</si>
  <si>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</si>
  <si>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</si>
  <si>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</si>
  <si>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</si>
  <si>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</si>
  <si>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</si>
  <si>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</si>
  <si>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</si>
  <si>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</si>
  <si>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</si>
  <si>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</si>
  <si>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</si>
  <si>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</si>
  <si>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</si>
  <si>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</si>
  <si>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</si>
  <si>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</si>
  <si>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</si>
  <si>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</si>
  <si>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</si>
  <si>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</si>
  <si>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</si>
  <si>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</si>
  <si>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</si>
  <si>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</si>
  <si>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</si>
  <si>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</si>
  <si>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</si>
  <si>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</si>
  <si>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</si>
  <si>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</si>
  <si>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</si>
  <si>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</si>
  <si>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</si>
  <si>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</si>
  <si>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</si>
  <si>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</si>
  <si>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</si>
  <si>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</si>
  <si>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</si>
  <si>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</si>
  <si>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</si>
  <si>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</si>
  <si>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</si>
  <si>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</si>
  <si>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</si>
  <si>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</si>
  <si>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</si>
  <si>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</si>
  <si>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</si>
  <si>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</si>
  <si>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</si>
  <si>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</si>
  <si>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</si>
  <si>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</si>
  <si>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</si>
  <si>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</si>
  <si>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</si>
  <si>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</si>
  <si>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</si>
  <si>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</si>
  <si>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</si>
  <si>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</si>
  <si>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</si>
  <si>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</si>
  <si>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</si>
  <si>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</si>
  <si>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</si>
  <si>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</si>
  <si>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</si>
  <si>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</si>
  <si>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</si>
  <si>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</si>
  <si>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</si>
  <si>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</si>
  <si>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</si>
  <si>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</si>
  <si>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</si>
  <si>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</si>
  <si>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</si>
  <si>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</si>
  <si>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</si>
  <si>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</si>
  <si>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</si>
  <si>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</si>
  <si>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</si>
  <si>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</si>
  <si>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</si>
  <si>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</si>
  <si>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</si>
  <si>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</si>
  <si>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</si>
  <si>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</si>
  <si>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</si>
  <si>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</si>
  <si>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</si>
  <si>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</si>
  <si>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</si>
  <si>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</si>
  <si>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</si>
  <si>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</si>
  <si>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</si>
  <si>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</si>
  <si>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</si>
  <si>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</si>
  <si>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</si>
  <si>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</si>
  <si>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</si>
  <si>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</si>
  <si>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</si>
  <si>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</si>
  <si>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</si>
  <si>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</si>
  <si>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</si>
  <si>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</si>
  <si>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</si>
  <si>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</si>
  <si>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</si>
  <si>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</si>
  <si>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</si>
  <si>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</si>
  <si>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</si>
  <si>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</si>
  <si>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</si>
  <si>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</si>
  <si>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</si>
  <si>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</si>
  <si>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</si>
  <si>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</si>
  <si>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</si>
  <si>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</si>
  <si>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</si>
  <si>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</si>
  <si>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</si>
  <si>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</si>
  <si>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</si>
  <si>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</si>
  <si>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</si>
  <si>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</si>
  <si>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</si>
  <si>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</si>
  <si>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</si>
  <si>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</si>
  <si>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</si>
  <si>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</si>
  <si>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</si>
  <si>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</si>
  <si>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</si>
  <si>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</si>
  <si>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</si>
  <si>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</si>
  <si>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</si>
  <si>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</si>
  <si>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</si>
  <si>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</si>
  <si>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</si>
  <si>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</si>
  <si>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</si>
  <si>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</si>
  <si>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</si>
  <si>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</si>
  <si>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</si>
  <si>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</si>
  <si>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</si>
  <si>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</si>
  <si>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</si>
  <si>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</si>
  <si>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</si>
  <si>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</si>
  <si>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</si>
  <si>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</si>
  <si>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</si>
  <si>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</si>
  <si>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</si>
  <si>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</si>
  <si>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</si>
  <si>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</si>
  <si>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</si>
  <si>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</si>
  <si>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</si>
  <si>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</si>
  <si>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</si>
  <si>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</si>
  <si>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</si>
  <si>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</si>
  <si>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</si>
  <si>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</si>
  <si>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</si>
  <si>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</si>
  <si>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</si>
  <si>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</si>
  <si>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</si>
  <si>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</si>
  <si>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</si>
  <si>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</si>
  <si>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</si>
  <si>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</si>
  <si>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</si>
  <si>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</si>
  <si>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</si>
  <si>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</si>
  <si>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</si>
  <si>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</si>
  <si>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</si>
  <si>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</si>
  <si>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</si>
  <si>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</si>
  <si>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</si>
  <si>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</si>
  <si>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</si>
  <si>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</si>
  <si>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</si>
  <si>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</si>
  <si>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</si>
  <si>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</si>
  <si>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</si>
  <si>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</si>
  <si>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</si>
  <si>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</si>
  <si>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</si>
  <si>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</si>
  <si>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</si>
  <si>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</si>
  <si>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</si>
  <si>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</si>
  <si>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</si>
  <si>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</si>
  <si>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</si>
  <si>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</si>
  <si>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</si>
  <si>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</si>
  <si>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</si>
  <si>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</si>
  <si>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</si>
  <si>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</si>
  <si>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</si>
  <si>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</si>
  <si>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</si>
  <si>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</si>
  <si>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</si>
  <si>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</si>
  <si>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</si>
  <si>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</si>
  <si>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</si>
  <si>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</si>
  <si>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</si>
  <si>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</si>
  <si>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</si>
  <si>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</si>
  <si>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</si>
  <si>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</si>
  <si>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</si>
  <si>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</si>
  <si>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</si>
  <si>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</si>
  <si>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</si>
  <si>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</si>
  <si>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</si>
  <si>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</si>
  <si>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</si>
  <si>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</si>
  <si>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</si>
  <si>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</si>
  <si>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</si>
  <si>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</si>
  <si>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</si>
  <si>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</si>
  <si>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</si>
  <si>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</si>
  <si>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</si>
  <si>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</si>
  <si>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</si>
  <si>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</si>
  <si>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</si>
  <si>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</si>
  <si>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</si>
  <si>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</si>
  <si>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</si>
  <si>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</si>
  <si>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</si>
  <si>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</si>
  <si>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</si>
  <si>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</si>
  <si>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</si>
  <si>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</si>
  <si>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</si>
  <si>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</si>
  <si>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</si>
  <si>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</si>
  <si>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</si>
  <si>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</si>
  <si>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</si>
  <si>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</si>
  <si>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</si>
  <si>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</si>
  <si>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</si>
  <si>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</si>
  <si>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</si>
  <si>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</si>
  <si>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</si>
  <si>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</si>
  <si>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</si>
  <si>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</si>
  <si>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</si>
  <si>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</si>
  <si>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</si>
  <si>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</si>
  <si>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</si>
  <si>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</si>
  <si>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</si>
  <si>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</si>
  <si>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</si>
  <si>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</si>
  <si>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</si>
  <si>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</si>
  <si>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</si>
  <si>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</si>
  <si>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</si>
  <si>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</si>
  <si>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</si>
  <si>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</si>
  <si>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</si>
  <si>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</si>
  <si>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</si>
  <si>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</si>
  <si>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</si>
  <si>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</si>
  <si>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</si>
  <si>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</si>
  <si>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</si>
  <si>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</si>
  <si>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</si>
  <si>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</si>
  <si>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</si>
  <si>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</si>
  <si>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</si>
  <si>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</si>
  <si>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</si>
  <si>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</si>
  <si>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</si>
  <si>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</si>
  <si>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</si>
  <si>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</si>
  <si>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</si>
  <si>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</si>
  <si>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</si>
  <si>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</si>
  <si>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</si>
  <si>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</si>
  <si>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</si>
  <si>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</si>
  <si>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</si>
  <si>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</si>
  <si>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</si>
  <si>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</si>
  <si>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</si>
  <si>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</si>
  <si>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</si>
  <si>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</si>
  <si>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</si>
  <si>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</si>
  <si>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</si>
  <si>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</si>
  <si>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</si>
  <si>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</si>
  <si>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</si>
  <si>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</si>
  <si>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</si>
  <si>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</si>
  <si>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</si>
  <si>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</si>
  <si>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</si>
  <si>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</si>
  <si>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</si>
  <si>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</si>
  <si>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</si>
  <si>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</si>
  <si>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</si>
  <si>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</si>
  <si>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</si>
  <si>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</si>
  <si>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</si>
  <si>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</si>
  <si>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</si>
  <si>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</si>
  <si>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</si>
  <si>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</si>
  <si>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</si>
  <si>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</si>
  <si>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</si>
  <si>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</si>
  <si>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</si>
  <si>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</si>
  <si>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</si>
  <si>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</si>
  <si>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</si>
  <si>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</si>
  <si>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</si>
  <si>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</si>
  <si>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</si>
  <si>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</si>
  <si>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</si>
  <si>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</si>
  <si>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</si>
  <si>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</si>
  <si>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</si>
  <si>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</si>
  <si>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</si>
  <si>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</si>
  <si>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</si>
  <si>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</si>
  <si>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</si>
  <si>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</si>
  <si>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</si>
  <si>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</si>
  <si>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</si>
  <si>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</si>
  <si>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</si>
  <si>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</si>
  <si>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</si>
  <si>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</si>
  <si>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</si>
  <si>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</si>
  <si>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</si>
  <si>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</si>
  <si>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</si>
  <si>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</si>
  <si>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</si>
  <si>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</si>
  <si>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</si>
  <si>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</si>
  <si>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</si>
  <si>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</si>
  <si>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</si>
  <si>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</si>
  <si>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</si>
  <si>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</si>
  <si>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</si>
  <si>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</si>
  <si>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</si>
  <si>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</si>
  <si>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</si>
  <si>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</si>
  <si>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</si>
  <si>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</si>
  <si>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</si>
  <si>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</si>
  <si>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</si>
  <si>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</si>
  <si>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</si>
  <si>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</si>
  <si>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</si>
  <si>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</si>
  <si>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</si>
  <si>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</si>
  <si>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</si>
  <si>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</si>
  <si>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</si>
  <si>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</si>
  <si>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</si>
  <si>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</si>
  <si>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</si>
  <si>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</si>
  <si>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</si>
  <si>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</si>
  <si>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</si>
  <si>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</si>
  <si>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</si>
  <si>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</si>
  <si>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</si>
  <si>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</si>
  <si>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</si>
  <si>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</si>
  <si>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</si>
  <si>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</si>
  <si>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</si>
  <si>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</si>
  <si>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</si>
  <si>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</si>
  <si>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</si>
  <si>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</si>
  <si>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</si>
  <si>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</si>
  <si>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</si>
  <si>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</si>
  <si>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</si>
  <si>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</si>
  <si>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</si>
  <si>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</si>
  <si>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</si>
  <si>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</si>
  <si>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</si>
  <si>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</si>
  <si>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</si>
  <si>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</si>
  <si>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</si>
  <si>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</si>
  <si>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</si>
  <si>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</si>
  <si>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</si>
  <si>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</si>
  <si>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</si>
  <si>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</si>
  <si>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</si>
  <si>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</si>
  <si>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</si>
  <si>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</si>
  <si>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</si>
  <si>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</si>
  <si>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</si>
  <si>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</si>
  <si>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</si>
  <si>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</si>
  <si>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</si>
  <si>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</si>
  <si>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</si>
  <si>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</si>
  <si>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</si>
  <si>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</si>
  <si>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</si>
  <si>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</si>
  <si>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</si>
  <si>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</si>
  <si>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</si>
  <si>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</si>
  <si>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</si>
  <si>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</si>
  <si>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</si>
  <si>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</si>
  <si>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</si>
  <si>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</si>
  <si>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</si>
  <si>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</si>
  <si>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</si>
  <si>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</si>
  <si>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</si>
  <si>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</si>
  <si>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</si>
  <si>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</si>
  <si>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</si>
  <si>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</si>
  <si>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</si>
  <si>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</si>
  <si>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</si>
  <si>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</si>
  <si>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</si>
  <si>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</si>
  <si>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</si>
  <si>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</si>
  <si>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</si>
  <si>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</si>
  <si>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</si>
  <si>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</si>
  <si>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</si>
  <si>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</si>
  <si>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</si>
  <si>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</si>
  <si>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</si>
  <si>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</si>
  <si>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</si>
  <si>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</si>
  <si>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</si>
  <si>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</si>
  <si>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</si>
  <si>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</si>
  <si>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</si>
  <si>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</si>
  <si>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</si>
  <si>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</si>
  <si>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</si>
  <si>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</si>
  <si>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</si>
  <si>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</si>
  <si>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</si>
  <si>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</si>
  <si>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</si>
  <si>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</si>
  <si>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</si>
  <si>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</si>
  <si>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</si>
  <si>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</si>
  <si>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</si>
  <si>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</si>
  <si>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</si>
  <si>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</si>
  <si>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</si>
  <si>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</si>
  <si>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</si>
  <si>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</si>
  <si>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</si>
  <si>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</si>
  <si>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</si>
  <si>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</si>
  <si>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</si>
  <si>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</si>
  <si>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</si>
  <si>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</si>
  <si>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</si>
  <si>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</si>
  <si>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</si>
  <si>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</si>
  <si>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</si>
  <si>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</si>
  <si>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</si>
  <si>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</si>
  <si>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</si>
  <si>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</si>
  <si>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</si>
  <si>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</si>
  <si>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</si>
  <si>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</si>
  <si>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</si>
  <si>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</si>
  <si>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</si>
  <si>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</si>
  <si>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</si>
  <si>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</si>
  <si>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</si>
  <si>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</si>
  <si>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</si>
  <si>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</si>
  <si>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</si>
  <si>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</si>
  <si>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</si>
  <si>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</si>
  <si>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</si>
  <si>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</si>
  <si>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</si>
  <si>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</si>
  <si>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</si>
  <si>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</si>
  <si>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</si>
  <si>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</si>
  <si>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</si>
  <si>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</si>
  <si>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</si>
  <si>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</si>
  <si>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</si>
  <si>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</si>
  <si>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</si>
  <si>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</si>
  <si>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</si>
  <si>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</si>
  <si>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</si>
  <si>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</si>
  <si>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</si>
  <si>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</si>
  <si>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</si>
  <si>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</si>
  <si>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</si>
  <si>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</si>
  <si>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</si>
  <si>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</si>
  <si>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</si>
  <si>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</si>
  <si>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</si>
  <si>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</si>
  <si>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</si>
  <si>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</si>
  <si>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</si>
  <si>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</si>
  <si>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</si>
  <si>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</si>
  <si>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</si>
  <si>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</si>
  <si>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</si>
  <si>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</si>
  <si>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</si>
  <si>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</si>
  <si>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</si>
  <si>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</si>
  <si>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</si>
  <si>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</si>
  <si>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</si>
  <si>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</si>
  <si>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</si>
  <si>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</si>
  <si>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</si>
  <si>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</si>
  <si>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</si>
  <si>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</si>
  <si>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</si>
  <si>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</si>
  <si>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</si>
  <si>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</si>
  <si>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</si>
  <si>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</si>
  <si>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</si>
  <si>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</si>
  <si>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</si>
  <si>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</si>
  <si>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</si>
  <si>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</si>
  <si>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</si>
  <si>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</si>
  <si>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</si>
  <si>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</si>
  <si>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</si>
  <si>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</si>
  <si>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</si>
  <si>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</si>
  <si>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</si>
  <si>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</si>
  <si>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</si>
  <si>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</si>
  <si>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</si>
  <si>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</si>
  <si>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</si>
  <si>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</si>
  <si>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</si>
  <si>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</si>
  <si>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</si>
  <si>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</si>
  <si>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</si>
  <si>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</si>
  <si>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</si>
  <si>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</si>
  <si>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</si>
  <si>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</si>
  <si>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</si>
  <si>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</si>
  <si>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</si>
  <si>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</si>
  <si>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</si>
  <si>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</si>
  <si>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</si>
  <si>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</si>
  <si>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</si>
  <si>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</si>
  <si>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</si>
  <si>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</si>
  <si>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</si>
  <si>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</si>
  <si>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</si>
  <si>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</si>
  <si>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</si>
  <si>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</si>
  <si>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</si>
  <si>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</si>
  <si>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</si>
  <si>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</si>
  <si>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</si>
  <si>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</si>
  <si>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</si>
  <si>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</si>
  <si>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</si>
  <si>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</si>
  <si>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</si>
  <si>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</si>
  <si>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</si>
  <si>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</si>
  <si>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</si>
  <si>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</si>
  <si>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</si>
  <si>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</si>
  <si>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</si>
  <si>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</si>
  <si>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</si>
  <si>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</si>
  <si>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</si>
  <si>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</si>
  <si>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</si>
  <si>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</si>
  <si>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</si>
  <si>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</si>
  <si>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</si>
  <si>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</si>
  <si>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</si>
  <si>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</si>
  <si>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</si>
  <si>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</si>
  <si>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</si>
  <si>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</si>
  <si>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</si>
  <si>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</si>
  <si>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</si>
  <si>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</si>
  <si>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</si>
  <si>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</si>
  <si>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</si>
  <si>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</si>
  <si>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</si>
  <si>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</si>
  <si>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</si>
  <si>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</si>
  <si>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</si>
  <si>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</si>
  <si>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</si>
  <si>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</si>
  <si>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</si>
  <si>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</si>
  <si>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</si>
  <si>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</si>
  <si>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</si>
  <si>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</si>
  <si>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</si>
  <si>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</si>
  <si>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</si>
  <si>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</si>
  <si>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</si>
  <si>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</si>
  <si>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</si>
  <si>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</si>
  <si>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</si>
  <si>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</si>
  <si>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</si>
  <si>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</si>
  <si>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</si>
  <si>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</si>
  <si>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</si>
  <si>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</si>
  <si>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</si>
  <si>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</si>
  <si>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</si>
  <si>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</si>
  <si>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</si>
  <si>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</si>
  <si>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</si>
  <si>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</si>
  <si>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</si>
  <si>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</si>
  <si>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</si>
  <si>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</si>
  <si>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</si>
  <si>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</si>
  <si>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</si>
  <si>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</si>
  <si>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</si>
  <si>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</si>
  <si>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</si>
  <si>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</si>
  <si>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</si>
  <si>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</si>
  <si>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</si>
  <si>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</si>
  <si>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</si>
  <si>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</si>
  <si>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</si>
  <si>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</si>
  <si>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</si>
  <si>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</si>
  <si>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</si>
  <si>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</si>
  <si>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</si>
  <si>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</si>
  <si>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</si>
  <si>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</si>
  <si>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</si>
  <si>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</si>
  <si>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</si>
  <si>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</si>
  <si>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</si>
  <si>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</si>
  <si>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</si>
  <si>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</si>
  <si>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</si>
  <si>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</si>
  <si>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</si>
  <si>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</si>
  <si>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</si>
  <si>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</si>
  <si>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</si>
  <si>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</si>
  <si>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</si>
  <si>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</si>
  <si>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</si>
  <si>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</si>
  <si>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</si>
  <si>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</si>
  <si>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</si>
  <si>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</si>
  <si>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</si>
  <si>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</si>
  <si>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</si>
  <si>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</si>
  <si>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</si>
  <si>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</si>
  <si>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</si>
  <si>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</si>
  <si>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</si>
  <si>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</si>
  <si>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</si>
  <si>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</si>
  <si>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</si>
  <si>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</si>
  <si>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</si>
  <si>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</si>
  <si>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</si>
  <si>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</si>
  <si>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</si>
  <si>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</si>
  <si>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</si>
  <si>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</si>
  <si>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</si>
  <si>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</si>
  <si>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</si>
  <si>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</si>
  <si>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</si>
  <si>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</si>
  <si>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</si>
  <si>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</si>
  <si>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</si>
  <si>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</si>
  <si>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</si>
  <si>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</si>
  <si>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</si>
  <si>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</si>
  <si>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</si>
  <si>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</si>
  <si>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</si>
  <si>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</si>
  <si>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</si>
  <si>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</si>
  <si>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</si>
  <si>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</si>
  <si>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</si>
  <si>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</si>
  <si>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</si>
  <si>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</si>
  <si>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</si>
  <si>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</si>
  <si>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</si>
  <si>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</si>
  <si>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</si>
  <si>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</si>
  <si>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</si>
  <si>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</si>
  <si>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</si>
  <si>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</si>
  <si>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</si>
  <si>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</si>
  <si>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</si>
  <si>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</si>
  <si>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</si>
  <si>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</si>
  <si>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</si>
  <si>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</si>
  <si>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</si>
  <si>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</si>
  <si>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</si>
  <si>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</si>
  <si>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</si>
  <si>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</si>
  <si>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</si>
  <si>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</si>
  <si>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</si>
  <si>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</si>
  <si>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</si>
  <si>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</si>
  <si>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</si>
  <si>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</si>
  <si>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</si>
  <si>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</si>
  <si>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</si>
  <si>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</si>
  <si>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</si>
  <si>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</si>
  <si>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</si>
  <si>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</si>
  <si>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</si>
  <si>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</si>
  <si>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</si>
  <si>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</si>
  <si>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</si>
  <si>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</si>
  <si>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</si>
  <si>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</si>
  <si>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</si>
  <si>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</si>
  <si>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</si>
  <si>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</si>
  <si>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</si>
  <si>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</si>
  <si>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</si>
  <si>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</si>
  <si>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</si>
  <si>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</si>
  <si>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</si>
  <si>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</si>
  <si>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</si>
  <si>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</si>
  <si>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</si>
  <si>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</si>
  <si>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</si>
  <si>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</si>
  <si>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</si>
  <si>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</si>
  <si>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</si>
  <si>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</si>
  <si>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</si>
  <si>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</si>
  <si>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</si>
  <si>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</si>
  <si>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</si>
  <si>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</si>
  <si>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</si>
  <si>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</si>
  <si>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</si>
  <si>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</si>
  <si>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</si>
  <si>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</si>
  <si>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</si>
  <si>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</si>
  <si>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</si>
  <si>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</si>
  <si>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</si>
  <si>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</si>
  <si>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</si>
  <si>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</si>
  <si>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</si>
  <si>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</si>
  <si>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</si>
  <si>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</si>
  <si>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</si>
  <si>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</si>
  <si>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</si>
  <si>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</si>
  <si>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</si>
  <si>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</si>
  <si>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</si>
  <si>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</si>
  <si>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</si>
  <si>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</si>
  <si>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</si>
  <si>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</si>
  <si>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</si>
  <si>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</si>
  <si>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</si>
  <si>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</si>
  <si>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</si>
  <si>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</si>
  <si>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</si>
  <si>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</si>
  <si>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</si>
  <si>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</si>
  <si>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</si>
  <si>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</si>
  <si>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</si>
  <si>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</si>
  <si>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</si>
  <si>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</si>
  <si>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</si>
  <si>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</si>
  <si>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</si>
  <si>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</si>
  <si>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</si>
  <si>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</si>
  <si>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</si>
  <si>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</si>
  <si>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</si>
  <si>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</si>
  <si>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</si>
  <si>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</si>
  <si>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</si>
  <si>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</si>
  <si>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</si>
  <si>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</si>
  <si>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</si>
  <si>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</si>
  <si>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</si>
  <si>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</si>
  <si>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</si>
  <si>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</si>
  <si>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</si>
  <si>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</si>
  <si>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</si>
  <si>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</si>
  <si>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</si>
  <si>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</si>
  <si>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</si>
  <si>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</si>
  <si>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</si>
  <si>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</si>
  <si>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</si>
  <si>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</si>
  <si>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</si>
  <si>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</si>
  <si>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</si>
  <si>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</si>
  <si>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</si>
  <si>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</si>
  <si>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</si>
  <si>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</si>
  <si>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</si>
  <si>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</si>
  <si>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</si>
  <si>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</si>
  <si>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</si>
  <si>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</si>
  <si>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</si>
  <si>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</si>
  <si>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</si>
  <si>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</si>
  <si>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</si>
  <si>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</si>
  <si>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</si>
  <si>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</si>
  <si>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</si>
  <si>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</si>
  <si>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</si>
  <si>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</si>
  <si>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</si>
  <si>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</si>
  <si>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</si>
  <si>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</si>
  <si>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</si>
  <si>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</si>
  <si>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</si>
  <si>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</si>
  <si>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</si>
  <si>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</si>
  <si>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</si>
  <si>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</si>
  <si>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</si>
  <si>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</si>
  <si>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</si>
  <si>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</si>
  <si>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</si>
  <si>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</si>
  <si>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</si>
  <si>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</si>
  <si>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</si>
  <si>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</si>
  <si>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</si>
  <si>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</si>
  <si>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</si>
  <si>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</si>
  <si>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</si>
  <si>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</si>
  <si>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</si>
  <si>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</si>
  <si>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</si>
  <si>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</si>
  <si>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</si>
  <si>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</si>
  <si>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</si>
  <si>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</si>
  <si>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</si>
  <si>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</si>
  <si>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</si>
  <si>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</si>
  <si>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</si>
  <si>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</si>
  <si>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</si>
  <si>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</si>
  <si>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</si>
  <si>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</si>
  <si>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</si>
  <si>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</si>
  <si>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</si>
  <si>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</si>
  <si>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</si>
  <si>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</si>
  <si>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</si>
  <si>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</si>
  <si>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</si>
  <si>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</si>
  <si>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</si>
  <si>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</si>
  <si>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</si>
  <si>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</si>
  <si>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</si>
  <si>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</si>
  <si>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</si>
  <si>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</si>
  <si>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</si>
  <si>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</si>
  <si>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</si>
  <si>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</si>
  <si>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</si>
  <si>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</si>
  <si>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</si>
  <si>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</si>
  <si>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</si>
  <si>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</si>
  <si>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</si>
  <si>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</si>
  <si>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</si>
  <si>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</si>
  <si>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</si>
  <si>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</si>
  <si>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</si>
  <si>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</si>
  <si>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</si>
  <si>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</si>
  <si>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</si>
  <si>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</si>
  <si>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</si>
  <si>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</si>
  <si>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</si>
  <si>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</si>
  <si>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</si>
  <si>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</si>
  <si>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</si>
  <si>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</si>
  <si>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</si>
  <si>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</si>
  <si>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</si>
  <si>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</si>
  <si>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</si>
  <si>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</si>
  <si>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</si>
  <si>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</si>
  <si>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</si>
  <si>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</si>
  <si>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</si>
  <si>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</si>
  <si>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</si>
  <si>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</si>
  <si>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</si>
  <si>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</si>
  <si>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</si>
  <si>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</si>
  <si>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</si>
  <si>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</si>
  <si>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</si>
  <si>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</si>
  <si>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</si>
  <si>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</si>
  <si>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</si>
  <si>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</si>
  <si>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</si>
  <si>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</si>
  <si>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</si>
  <si>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</si>
  <si>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</si>
  <si>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</si>
  <si>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</si>
  <si>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</si>
  <si>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</si>
  <si>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</si>
  <si>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</si>
  <si>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</si>
  <si>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</si>
  <si>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</si>
  <si>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</si>
  <si>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</si>
  <si>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</si>
  <si>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</si>
  <si>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</si>
  <si>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</si>
  <si>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</si>
  <si>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</si>
  <si>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</si>
  <si>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</si>
  <si>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</si>
  <si>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</si>
  <si>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</si>
  <si>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</si>
  <si>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</si>
  <si>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</si>
  <si>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</si>
  <si>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</si>
  <si>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</si>
  <si>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</si>
  <si>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</si>
  <si>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</si>
  <si>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</si>
  <si>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</si>
  <si>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</si>
  <si>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</si>
  <si>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</si>
  <si>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</si>
  <si>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</si>
  <si>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</si>
  <si>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</si>
  <si>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</si>
  <si>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</si>
  <si>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</si>
  <si>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</si>
  <si>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</si>
  <si>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</si>
  <si>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</si>
  <si>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</si>
  <si>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</si>
  <si>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</si>
  <si>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</si>
  <si>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</si>
  <si>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</si>
  <si>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</si>
  <si>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</si>
  <si>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</si>
  <si>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</si>
  <si>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</si>
  <si>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</si>
  <si>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</si>
  <si>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</si>
  <si>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</si>
  <si>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</si>
  <si>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</si>
  <si>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</si>
  <si>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</si>
  <si>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</si>
  <si>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</si>
  <si>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</si>
  <si>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</si>
  <si>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</si>
  <si>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</si>
  <si>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</si>
  <si>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</si>
  <si>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</si>
  <si>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</si>
  <si>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</si>
  <si>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</si>
  <si>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</si>
  <si>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</si>
  <si>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</si>
  <si>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</si>
  <si>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</si>
  <si>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</si>
  <si>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</si>
  <si>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</si>
  <si>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</si>
  <si>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</si>
  <si>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</si>
  <si>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</si>
  <si>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</si>
  <si>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</si>
  <si>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</si>
  <si>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</si>
  <si>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</si>
  <si>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</si>
  <si>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</si>
  <si>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</si>
  <si>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</si>
  <si>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</si>
  <si>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</si>
  <si>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</si>
  <si>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</si>
  <si>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</si>
  <si>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</si>
  <si>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</si>
  <si>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</si>
  <si>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</si>
  <si>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</si>
  <si>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</si>
  <si>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</si>
  <si>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</si>
  <si>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</si>
  <si>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</si>
  <si>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</si>
  <si>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</si>
  <si>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</si>
  <si>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</si>
  <si>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</si>
  <si>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</si>
  <si>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</si>
  <si>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</si>
  <si>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</si>
  <si>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</si>
  <si>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</si>
  <si>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</si>
  <si>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</si>
  <si>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</si>
  <si>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</si>
  <si>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</si>
  <si>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</si>
  <si>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</si>
  <si>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</si>
  <si>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</si>
  <si>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</si>
  <si>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</si>
  <si>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</si>
  <si>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</si>
  <si>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</si>
  <si>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</si>
  <si>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</si>
  <si>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</si>
  <si>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</si>
  <si>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</si>
  <si>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</si>
  <si>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</si>
  <si>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</si>
  <si>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</si>
  <si>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</si>
  <si>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</si>
  <si>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</si>
  <si>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</si>
  <si>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</si>
  <si>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</si>
  <si>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</si>
  <si>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</si>
  <si>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</si>
  <si>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</si>
  <si>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</si>
  <si>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</si>
  <si>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</si>
  <si>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</si>
  <si>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</si>
  <si>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</si>
  <si>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</si>
  <si>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</si>
  <si>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</si>
  <si>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</si>
  <si>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</si>
  <si>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</si>
  <si>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</si>
  <si>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</si>
  <si>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</si>
  <si>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</si>
  <si>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</si>
  <si>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</si>
  <si>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</si>
  <si>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</si>
  <si>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</si>
  <si>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</si>
  <si>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</si>
  <si>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</si>
  <si>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</si>
  <si>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</si>
  <si>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</si>
  <si>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</si>
  <si>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</si>
  <si>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</si>
  <si>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</si>
  <si>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</si>
  <si>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</si>
  <si>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</si>
  <si>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</si>
  <si>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</si>
  <si>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</si>
  <si>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</si>
  <si>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</si>
  <si>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</si>
  <si>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</si>
  <si>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</si>
  <si>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</si>
  <si>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</si>
  <si>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</si>
  <si>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</si>
  <si>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</si>
  <si>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</si>
  <si>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</si>
  <si>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</si>
  <si>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</si>
  <si>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</si>
  <si>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</si>
  <si>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</si>
  <si>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</si>
  <si>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</si>
  <si>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</si>
  <si>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</si>
  <si>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</si>
  <si>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</si>
  <si>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</si>
  <si>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</si>
  <si>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</si>
  <si>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</si>
  <si>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</si>
  <si>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</si>
  <si>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</si>
  <si>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</si>
  <si>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</si>
  <si>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</si>
  <si>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</si>
  <si>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</si>
  <si>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</si>
  <si>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</si>
  <si>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</si>
  <si>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</si>
  <si>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</si>
  <si>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</si>
  <si>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</si>
  <si>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</si>
  <si>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</si>
  <si>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</si>
  <si>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</si>
  <si>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</si>
  <si>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</si>
  <si>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</si>
  <si>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</si>
  <si>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</si>
  <si>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</si>
  <si>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</si>
  <si>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</si>
  <si>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</si>
  <si>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</si>
  <si>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</si>
  <si>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</si>
  <si>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</si>
  <si>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</si>
  <si>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</si>
  <si>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</si>
  <si>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</si>
  <si>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</si>
  <si>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</si>
  <si>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</si>
  <si>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</si>
  <si>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</si>
  <si>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</si>
  <si>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</si>
  <si>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</si>
  <si>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</si>
  <si>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</si>
  <si>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</si>
  <si>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</si>
  <si>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</si>
  <si>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</si>
  <si>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</si>
  <si>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</si>
  <si>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</si>
  <si>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</si>
  <si>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</si>
  <si>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</si>
  <si>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</si>
  <si>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</si>
  <si>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</si>
  <si>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</si>
  <si>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</si>
  <si>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</si>
  <si>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</si>
  <si>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</si>
  <si>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</si>
  <si>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</si>
  <si>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</si>
  <si>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</si>
  <si>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</si>
  <si>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</si>
  <si>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</si>
  <si>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</si>
  <si>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</si>
  <si>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</si>
  <si>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</si>
  <si>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</si>
  <si>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</si>
  <si>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</si>
  <si>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</si>
  <si>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</si>
  <si>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</si>
  <si>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</si>
  <si>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</si>
  <si>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</si>
  <si>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</si>
  <si>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</si>
  <si>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</si>
  <si>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</si>
  <si>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</si>
  <si>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</si>
  <si>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</si>
  <si>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</si>
  <si>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</si>
  <si>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</si>
  <si>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</si>
  <si>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</si>
  <si>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</si>
  <si>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</si>
  <si>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</si>
  <si>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</si>
  <si>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</si>
  <si>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</si>
  <si>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</si>
  <si>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</si>
  <si>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</si>
  <si>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</si>
  <si>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</si>
  <si>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</si>
  <si>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</si>
  <si>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</si>
  <si>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</si>
  <si>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</si>
  <si>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</si>
  <si>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</si>
  <si>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</si>
  <si>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</si>
  <si>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</si>
  <si>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</si>
  <si>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</si>
  <si>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</si>
  <si>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</si>
  <si>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</si>
  <si>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</si>
  <si>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</si>
  <si>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</si>
  <si>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</si>
  <si>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</si>
  <si>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</si>
  <si>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</si>
  <si>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</si>
  <si>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</si>
  <si>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</si>
  <si>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</si>
  <si>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</si>
  <si>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</si>
  <si>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</si>
  <si>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</si>
  <si>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</si>
  <si>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</si>
  <si>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</si>
  <si>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</si>
  <si>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</si>
  <si>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</si>
  <si>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</si>
  <si>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</si>
  <si>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</si>
  <si>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</si>
  <si>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</si>
  <si>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</si>
  <si>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</si>
  <si>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</si>
  <si>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</si>
  <si>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</si>
  <si>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</si>
  <si>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</si>
  <si>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</si>
  <si>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</si>
  <si>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</si>
  <si>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</si>
  <si>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</si>
  <si>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</si>
  <si>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</si>
  <si>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</si>
  <si>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</si>
  <si>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</si>
  <si>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</si>
  <si>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</si>
  <si>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</si>
  <si>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</si>
  <si>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</si>
  <si>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</si>
  <si>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</si>
  <si>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</si>
  <si>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</si>
  <si>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</si>
  <si>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</si>
  <si>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</si>
  <si>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</si>
  <si>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</si>
  <si>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</si>
  <si>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</si>
  <si>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</si>
  <si>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</si>
  <si>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</si>
  <si>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</si>
  <si>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</si>
  <si>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</si>
  <si>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</si>
  <si>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</si>
  <si>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</si>
  <si>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</si>
  <si>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</si>
  <si>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</si>
  <si>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</si>
  <si>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</si>
  <si>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</si>
  <si>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</si>
  <si>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</si>
  <si>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</si>
  <si>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</si>
  <si>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</si>
  <si>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</si>
  <si>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</si>
  <si>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</si>
  <si>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</si>
  <si>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</si>
  <si>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</si>
  <si>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</si>
  <si>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</si>
  <si>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</si>
  <si>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</si>
  <si>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</si>
  <si>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</si>
  <si>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</si>
  <si>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</si>
  <si>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</si>
  <si>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</si>
  <si>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</si>
  <si>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</si>
  <si>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</si>
  <si>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</si>
  <si>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</si>
  <si>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</si>
  <si>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</si>
  <si>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</si>
  <si>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</si>
  <si>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</si>
  <si>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</si>
  <si>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</si>
  <si>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</si>
  <si>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</si>
  <si>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</si>
  <si>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</si>
  <si>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</si>
  <si>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</si>
  <si>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</si>
  <si>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</si>
  <si>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</si>
  <si>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</si>
  <si>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</si>
  <si>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</si>
  <si>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</si>
  <si>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</si>
  <si>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</si>
  <si>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</si>
  <si>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</si>
  <si>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</si>
  <si>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</si>
  <si>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</si>
  <si>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</si>
  <si>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</si>
  <si>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</si>
  <si>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</si>
  <si>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</si>
  <si>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</si>
  <si>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</si>
  <si>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</si>
  <si>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</si>
  <si>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</si>
  <si>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</si>
  <si>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</si>
  <si>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</si>
  <si>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</si>
  <si>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</si>
  <si>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</si>
  <si>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</si>
  <si>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</si>
  <si>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</si>
  <si>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</si>
  <si>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</si>
  <si>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</si>
  <si>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</si>
  <si>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</si>
  <si>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</si>
  <si>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</si>
  <si>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</si>
  <si>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</si>
  <si>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</si>
  <si>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</si>
  <si>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</si>
  <si>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</si>
  <si>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</si>
  <si>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</si>
  <si>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</si>
  <si>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</si>
  <si>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</si>
  <si>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</si>
  <si>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</si>
  <si>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</si>
  <si>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</si>
  <si>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</si>
  <si>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</si>
  <si>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</si>
  <si>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</si>
  <si>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</si>
  <si>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</si>
  <si>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</si>
  <si>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</si>
  <si>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</si>
  <si>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</si>
  <si>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</si>
  <si>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</si>
  <si>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</si>
  <si>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</si>
  <si>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</si>
  <si>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</si>
  <si>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</si>
  <si>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</si>
  <si>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</si>
  <si>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</si>
  <si>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</si>
  <si>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</si>
  <si>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</si>
  <si>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</si>
  <si>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</si>
  <si>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</si>
  <si>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</si>
  <si>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</si>
  <si>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</si>
  <si>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</si>
  <si>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</si>
  <si>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</si>
  <si>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</si>
  <si>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</si>
  <si>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</si>
  <si>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</si>
  <si>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</si>
  <si>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</si>
  <si>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</si>
  <si>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</si>
  <si>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</si>
  <si>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</si>
  <si>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</si>
  <si>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</si>
  <si>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</si>
  <si>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</si>
  <si>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</si>
  <si>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</si>
  <si>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</si>
  <si>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</si>
  <si>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</si>
  <si>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</si>
  <si>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</si>
  <si>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</si>
  <si>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</si>
  <si>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</si>
  <si>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</si>
  <si>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</si>
  <si>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</si>
  <si>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</si>
  <si>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</si>
  <si>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</si>
  <si>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</si>
  <si>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</si>
  <si>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</si>
  <si>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</si>
  <si>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</si>
  <si>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</si>
  <si>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</si>
  <si>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</si>
  <si>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</si>
  <si>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</si>
  <si>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</si>
  <si>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</si>
  <si>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</si>
  <si>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</si>
  <si>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</si>
  <si>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</si>
  <si>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</si>
  <si>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</si>
  <si>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</si>
  <si>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</si>
  <si>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</si>
  <si>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</si>
  <si>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</si>
  <si>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</si>
  <si>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</si>
  <si>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</si>
  <si>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</si>
  <si>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</si>
  <si>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</si>
  <si>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</si>
  <si>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</si>
  <si>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</si>
  <si>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</si>
  <si>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</si>
  <si>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</si>
  <si>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</si>
  <si>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</si>
  <si>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</si>
  <si>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</si>
  <si>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</si>
  <si>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</si>
  <si>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</si>
  <si>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</si>
  <si>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</si>
  <si>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</si>
  <si>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</si>
  <si>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</si>
  <si>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</si>
  <si>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</si>
  <si>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</si>
  <si>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</si>
  <si>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</si>
  <si>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</si>
  <si>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</si>
  <si>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</si>
  <si>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</si>
  <si>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</si>
  <si>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</si>
  <si>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</si>
  <si>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</si>
  <si>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</si>
  <si>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</si>
  <si>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</si>
  <si>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</si>
  <si>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</si>
  <si>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</si>
  <si>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</si>
  <si>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</si>
  <si>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</si>
  <si>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</si>
  <si>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</si>
  <si>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</si>
  <si>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</si>
  <si>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</si>
  <si>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</si>
  <si>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</si>
  <si>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</si>
  <si>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</si>
  <si>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</si>
  <si>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</si>
  <si>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</si>
  <si>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</si>
  <si>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</si>
  <si>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</si>
  <si>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</si>
  <si>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</si>
  <si>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</si>
  <si>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</si>
  <si>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</si>
  <si>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</si>
  <si>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</si>
  <si>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</si>
  <si>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</si>
  <si>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</si>
  <si>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</si>
  <si>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</si>
  <si>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</si>
  <si>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</si>
  <si>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</si>
  <si>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</si>
  <si>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</si>
  <si>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</si>
  <si>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</si>
  <si>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</si>
  <si>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</si>
  <si>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</si>
  <si>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</si>
  <si>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</si>
  <si>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</si>
  <si>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</si>
  <si>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</si>
  <si>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</si>
  <si>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</si>
  <si>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</si>
  <si>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</si>
  <si>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</si>
  <si>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</si>
  <si>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</si>
  <si>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</si>
  <si>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</si>
  <si>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</si>
  <si>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</si>
  <si>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</si>
  <si>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</si>
  <si>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</si>
  <si>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</si>
  <si>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</si>
  <si>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</si>
  <si>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</si>
  <si>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</si>
  <si>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</si>
  <si>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</si>
  <si>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</si>
  <si>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</si>
  <si>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</si>
  <si>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</si>
  <si>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</si>
  <si>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</si>
  <si>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</si>
  <si>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</si>
  <si>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</si>
  <si>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</si>
  <si>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</si>
  <si>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</si>
  <si>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</si>
  <si>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</si>
  <si>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</si>
  <si>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</si>
  <si>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</si>
  <si>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</si>
  <si>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</si>
  <si>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</si>
  <si>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</si>
  <si>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</si>
  <si>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</si>
  <si>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</si>
  <si>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</si>
  <si>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</si>
  <si>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</si>
  <si>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</si>
  <si>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</si>
  <si>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</si>
  <si>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</si>
  <si>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</si>
  <si>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</si>
  <si>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</si>
  <si>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</si>
  <si>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</si>
  <si>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</si>
  <si>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</si>
  <si>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</si>
  <si>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</si>
  <si>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</si>
  <si>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</si>
  <si>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</si>
  <si>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</si>
  <si>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</si>
  <si>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</si>
  <si>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</si>
  <si>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</si>
  <si>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</si>
  <si>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</si>
  <si>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</si>
  <si>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</si>
  <si>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</si>
  <si>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</si>
  <si>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</si>
  <si>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</si>
  <si>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</si>
  <si>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</si>
  <si>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</si>
  <si>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</si>
  <si>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</si>
  <si>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</si>
  <si>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</si>
  <si>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</si>
  <si>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</si>
  <si>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</si>
  <si>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</si>
  <si>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</si>
  <si>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</si>
  <si>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</si>
  <si>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</si>
  <si>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</si>
  <si>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</si>
  <si>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</si>
  <si>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</si>
  <si>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</si>
  <si>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</si>
  <si>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</si>
  <si>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</si>
  <si>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</si>
  <si>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</si>
  <si>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</si>
  <si>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</si>
  <si>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</si>
  <si>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</si>
  <si>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</si>
  <si>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</si>
  <si>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</si>
  <si>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</si>
  <si>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</si>
  <si>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</si>
  <si>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</si>
  <si>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</si>
  <si>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</si>
  <si>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</si>
  <si>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</si>
  <si>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</si>
  <si>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</si>
  <si>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</si>
  <si>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</si>
  <si>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</si>
  <si>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</si>
  <si>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</si>
  <si>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</si>
  <si>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</si>
  <si>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</si>
  <si>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</si>
  <si>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</si>
  <si>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</si>
  <si>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</si>
  <si>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</si>
  <si>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</si>
  <si>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</si>
  <si>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</si>
  <si>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</si>
  <si>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</si>
  <si>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</si>
  <si>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</si>
  <si>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</si>
  <si>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</si>
  <si>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</si>
  <si>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</si>
  <si>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</si>
  <si>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</si>
  <si>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</si>
  <si>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</si>
  <si>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</si>
  <si>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</si>
  <si>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</si>
  <si>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</si>
  <si>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</si>
  <si>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</si>
  <si>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</si>
  <si>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</si>
  <si>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</si>
  <si>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</si>
  <si>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</si>
  <si>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</si>
  <si>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</si>
  <si>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</si>
  <si>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</si>
  <si>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</si>
  <si>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</si>
  <si>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</si>
  <si>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</si>
  <si>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</si>
  <si>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</si>
  <si>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</si>
  <si>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</si>
  <si>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</si>
  <si>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</si>
  <si>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</si>
  <si>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</si>
  <si>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</si>
  <si>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</si>
  <si>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</si>
  <si>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</si>
  <si>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</si>
  <si>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</si>
  <si>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</si>
  <si>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</si>
  <si>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</si>
  <si>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</si>
  <si>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</si>
  <si>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</si>
  <si>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</si>
  <si>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</si>
  <si>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</si>
  <si>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</si>
  <si>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</si>
  <si>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</si>
  <si>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</si>
  <si>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</si>
  <si>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</si>
  <si>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</si>
  <si>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</si>
  <si>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</si>
  <si>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</si>
  <si>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</si>
  <si>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</si>
  <si>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</si>
  <si>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</si>
  <si>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</si>
  <si>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</si>
  <si>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</si>
  <si>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</si>
  <si>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</si>
  <si>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</si>
  <si>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</si>
  <si>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</si>
  <si>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</si>
  <si>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</si>
  <si>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</si>
  <si>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</si>
  <si>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</si>
  <si>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</si>
  <si>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</si>
  <si>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</si>
  <si>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</si>
  <si>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</si>
  <si>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</si>
  <si>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</si>
  <si>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</si>
  <si>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</si>
  <si>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</si>
  <si>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</si>
  <si>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</si>
  <si>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</si>
  <si>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</si>
  <si>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</si>
  <si>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</si>
  <si>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</si>
  <si>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</si>
  <si>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</si>
  <si>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</si>
  <si>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</si>
  <si>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</si>
  <si>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</si>
  <si>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</si>
  <si>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</si>
  <si>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</si>
  <si>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</si>
  <si>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</si>
  <si>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</si>
  <si>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</si>
  <si>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</si>
  <si>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</si>
  <si>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</si>
  <si>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</si>
  <si>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</si>
  <si>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</si>
  <si>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</si>
  <si>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</si>
  <si>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</si>
  <si>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</si>
  <si>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</si>
  <si>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</si>
  <si>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</si>
  <si>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</si>
  <si>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</si>
  <si>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</si>
  <si>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</si>
  <si>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</si>
  <si>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</si>
  <si>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</si>
  <si>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</si>
  <si>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</si>
  <si>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</si>
  <si>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</si>
  <si>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</si>
  <si>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</si>
  <si>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</si>
  <si>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</si>
  <si>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</si>
  <si>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</si>
  <si>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</si>
  <si>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</si>
  <si>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</si>
  <si>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</si>
  <si>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</si>
  <si>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</si>
  <si>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</si>
  <si>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</si>
  <si>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</si>
  <si>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</si>
  <si>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</si>
  <si>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</si>
  <si>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</si>
  <si>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</si>
  <si>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</si>
  <si>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</si>
  <si>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</si>
  <si>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</si>
  <si>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</si>
  <si>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</si>
  <si>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</si>
  <si>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</si>
  <si>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</si>
  <si>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</si>
  <si>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</si>
  <si>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</si>
  <si>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</si>
  <si>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</si>
  <si>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</si>
  <si>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</si>
  <si>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</si>
  <si>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</si>
  <si>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</si>
  <si>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</si>
  <si>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</si>
  <si>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</si>
  <si>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</si>
  <si>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</si>
  <si>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</si>
  <si>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</si>
  <si>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</si>
  <si>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</si>
  <si>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</si>
  <si>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</si>
  <si>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</si>
  <si>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</si>
  <si>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</si>
  <si>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</si>
  <si>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</si>
  <si>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</si>
  <si>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</si>
  <si>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</si>
  <si>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</si>
  <si>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</si>
  <si>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</si>
  <si>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</si>
  <si>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</si>
  <si>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</si>
  <si>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</si>
  <si>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</si>
  <si>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</si>
  <si>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</si>
  <si>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</si>
  <si>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</si>
  <si>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</si>
  <si>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</si>
  <si>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</si>
  <si>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</si>
  <si>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</si>
  <si>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</si>
  <si>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</si>
  <si>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</si>
  <si>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</si>
  <si>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</si>
  <si>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</si>
  <si>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</si>
  <si>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</si>
  <si>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</si>
  <si>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</si>
  <si>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</si>
  <si>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</si>
  <si>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</si>
  <si>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</si>
  <si>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</si>
  <si>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</si>
  <si>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</si>
  <si>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</si>
  <si>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</si>
  <si>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</si>
  <si>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</si>
  <si>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</si>
  <si>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</si>
  <si>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</si>
  <si>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</si>
  <si>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</si>
  <si>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</si>
  <si>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</si>
  <si>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</si>
  <si>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</si>
  <si>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</si>
  <si>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</si>
  <si>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</si>
  <si>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</si>
  <si>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</si>
  <si>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</si>
  <si>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</si>
  <si>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</si>
  <si>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</si>
  <si>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</si>
  <si>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</si>
  <si>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</si>
  <si>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</si>
  <si>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</si>
  <si>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</si>
  <si>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</si>
  <si>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</si>
  <si>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</si>
  <si>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</si>
  <si>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</si>
  <si>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</si>
  <si>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</si>
  <si>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</si>
  <si>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</si>
  <si>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</si>
  <si>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</si>
  <si>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</si>
  <si>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</si>
  <si>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</si>
  <si>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</si>
  <si>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</si>
  <si>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</si>
  <si>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</si>
  <si>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</si>
  <si>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</si>
  <si>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</si>
  <si>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</si>
  <si>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</si>
  <si>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</si>
  <si>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</si>
  <si>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</si>
  <si>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</si>
  <si>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</si>
  <si>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</si>
  <si>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</si>
  <si>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</si>
  <si>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</si>
  <si>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</si>
  <si>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</si>
  <si>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</si>
  <si>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</si>
  <si>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</si>
  <si>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</si>
  <si>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</si>
  <si>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</si>
  <si>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</si>
  <si>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</si>
  <si>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</si>
  <si>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</si>
  <si>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</si>
  <si>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</si>
  <si>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</si>
  <si>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</si>
  <si>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</si>
  <si>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</si>
  <si>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</si>
  <si>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</si>
  <si>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</si>
  <si>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</si>
  <si>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</si>
  <si>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</si>
  <si>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</si>
  <si>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</si>
  <si>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</si>
  <si>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</si>
  <si>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</si>
  <si>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</si>
  <si>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</si>
  <si>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</si>
  <si>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</si>
  <si>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</si>
  <si>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</si>
  <si>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</si>
  <si>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</si>
  <si>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</si>
  <si>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</si>
  <si>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</si>
  <si>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</si>
  <si>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</si>
  <si>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</si>
  <si>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</si>
  <si>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</si>
  <si>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</si>
  <si>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</si>
  <si>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</si>
  <si>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</si>
  <si>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</si>
  <si>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</si>
  <si>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</si>
  <si>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</si>
  <si>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</si>
  <si>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</si>
  <si>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</si>
  <si>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</si>
  <si>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</si>
  <si>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</si>
  <si>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</si>
  <si>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</si>
  <si>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</si>
  <si>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</si>
  <si>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</si>
  <si>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</si>
  <si>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</si>
  <si>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</si>
  <si>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</si>
  <si>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</si>
  <si>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</si>
  <si>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</si>
  <si>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</si>
  <si>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</si>
  <si>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</si>
  <si>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</si>
  <si>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</si>
  <si>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</si>
  <si>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</si>
  <si>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</si>
  <si>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</si>
  <si>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</si>
  <si>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</si>
  <si>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</si>
  <si>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</si>
  <si>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</si>
  <si>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</si>
  <si>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</si>
  <si>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</si>
  <si>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</si>
  <si>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</si>
  <si>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</si>
  <si>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</si>
  <si>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</si>
  <si>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</si>
  <si>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</si>
  <si>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</si>
  <si>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</si>
  <si>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</si>
  <si>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</si>
  <si>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</si>
  <si>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</si>
  <si>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</si>
  <si>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</si>
  <si>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</si>
  <si>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</si>
  <si>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</si>
  <si>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</si>
  <si>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</si>
  <si>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</si>
  <si>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</si>
  <si>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</si>
  <si>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</si>
  <si>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</si>
  <si>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</si>
  <si>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</si>
  <si>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</si>
  <si>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</si>
  <si>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</si>
  <si>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</si>
  <si>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</si>
  <si>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</si>
  <si>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</si>
  <si>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</si>
  <si>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</si>
  <si>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</si>
  <si>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</si>
  <si>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</si>
  <si>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</si>
  <si>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</si>
  <si>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</si>
  <si>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</si>
  <si>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</si>
  <si>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</si>
  <si>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</si>
  <si>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</si>
  <si>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</si>
  <si>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</si>
  <si>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</si>
  <si>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</si>
  <si>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</si>
  <si>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</si>
  <si>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</si>
  <si>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</si>
  <si>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</si>
  <si>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</si>
  <si>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</si>
  <si>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</si>
  <si>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</si>
  <si>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</si>
  <si>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</si>
  <si>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</si>
  <si>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</si>
  <si>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</si>
  <si>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</si>
  <si>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</si>
  <si>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</si>
  <si>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</si>
  <si>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</si>
  <si>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</si>
  <si>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</si>
  <si>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</si>
  <si>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</si>
  <si>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</si>
  <si>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</si>
  <si>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</si>
  <si>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</si>
  <si>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</si>
  <si>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</si>
  <si>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</si>
  <si>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</si>
  <si>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</si>
  <si>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</si>
  <si>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</si>
  <si>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</si>
  <si>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</si>
  <si>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</si>
  <si>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</si>
  <si>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</si>
  <si>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</si>
  <si>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</si>
  <si>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</si>
  <si>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</si>
  <si>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</si>
  <si>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</si>
  <si>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</si>
  <si>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</si>
  <si>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</si>
  <si>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</si>
  <si>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</si>
  <si>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</si>
  <si>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</si>
  <si>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</si>
  <si>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</si>
  <si>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</si>
  <si>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</si>
  <si>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</si>
  <si>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</si>
  <si>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</si>
  <si>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</si>
  <si>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</si>
  <si>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</si>
  <si>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</si>
  <si>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</si>
  <si>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</si>
  <si>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</si>
  <si>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</si>
  <si>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</si>
  <si>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</si>
  <si>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</si>
  <si>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</si>
  <si>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</si>
  <si>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</si>
  <si>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</si>
  <si>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</si>
  <si>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</si>
  <si>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</si>
  <si>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</si>
  <si>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</si>
  <si>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</si>
  <si>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</si>
  <si>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</si>
  <si>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</si>
  <si>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</si>
  <si>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</si>
  <si>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</si>
  <si>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</si>
  <si>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</si>
  <si>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</si>
  <si>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</si>
  <si>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</si>
  <si>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</si>
  <si>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</si>
  <si>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</si>
  <si>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</si>
  <si>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</si>
  <si>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</si>
  <si>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</si>
  <si>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</si>
  <si>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</si>
  <si>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</si>
  <si>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</si>
  <si>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</si>
  <si>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</si>
  <si>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</si>
  <si>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</si>
  <si>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</si>
  <si>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</si>
  <si>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</si>
  <si>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</si>
  <si>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</si>
  <si>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</si>
  <si>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</si>
  <si>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</si>
  <si>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</si>
  <si>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</si>
  <si>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</si>
  <si>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</si>
  <si>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</si>
  <si>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</si>
  <si>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</si>
  <si>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</si>
  <si>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</si>
  <si>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</si>
  <si>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</si>
  <si>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</si>
  <si>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</si>
  <si>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</si>
  <si>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</si>
  <si>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</si>
  <si>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</si>
  <si>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</si>
  <si>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</si>
  <si>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</si>
  <si>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</si>
  <si>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</si>
  <si>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</si>
  <si>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</si>
  <si>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</si>
  <si>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</si>
  <si>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</si>
  <si>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</si>
  <si>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</si>
  <si>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</si>
  <si>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</si>
  <si>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</si>
  <si>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</si>
  <si>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</si>
  <si>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</si>
  <si>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</si>
  <si>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</si>
  <si>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</si>
  <si>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</si>
  <si>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</si>
  <si>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</si>
  <si>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</si>
  <si>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</si>
  <si>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</si>
  <si>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</si>
  <si>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</si>
  <si>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</si>
  <si>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</si>
  <si>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</si>
  <si>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</si>
  <si>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</si>
  <si>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</si>
  <si>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</si>
  <si>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</si>
  <si>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</si>
  <si>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</si>
  <si>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</si>
  <si>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</si>
  <si>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</si>
  <si>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</si>
  <si>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</si>
  <si>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</si>
  <si>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</si>
  <si>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</si>
  <si>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</si>
  <si>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</si>
  <si>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</si>
  <si>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</si>
  <si>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</si>
  <si>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</si>
  <si>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</si>
  <si>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</si>
  <si>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</si>
  <si>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</si>
  <si>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</si>
  <si>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</si>
  <si>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</si>
  <si>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</si>
  <si>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</si>
  <si>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</si>
  <si>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</si>
  <si>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</si>
  <si>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</si>
  <si>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</si>
  <si>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</si>
  <si>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</si>
  <si>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</si>
  <si>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</si>
  <si>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</si>
  <si>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</si>
  <si>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</si>
  <si>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</si>
  <si>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</si>
  <si>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</si>
  <si>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</si>
  <si>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</si>
  <si>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</si>
  <si>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</si>
  <si>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</si>
  <si>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</si>
  <si>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</si>
  <si>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</si>
  <si>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</si>
  <si>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</si>
  <si>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</si>
  <si>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</si>
  <si>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</si>
  <si>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</si>
  <si>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</si>
  <si>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</si>
  <si>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</si>
  <si>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</si>
  <si>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</si>
  <si>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</si>
  <si>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</si>
  <si>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</si>
  <si>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</si>
  <si>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</si>
  <si>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</si>
  <si>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</si>
  <si>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</si>
  <si>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</si>
  <si>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</si>
  <si>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</si>
  <si>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</si>
  <si>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</si>
  <si>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</si>
  <si>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</si>
  <si>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</si>
  <si>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</si>
  <si>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</si>
  <si>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</si>
  <si>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</si>
  <si>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</si>
  <si>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</si>
  <si>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</si>
  <si>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</si>
  <si>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</si>
  <si>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</si>
  <si>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</si>
  <si>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</si>
  <si>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</si>
  <si>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</si>
  <si>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</si>
  <si>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</si>
  <si>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</si>
  <si>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</si>
  <si>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</si>
  <si>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</si>
  <si>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</si>
  <si>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</si>
  <si>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</si>
  <si>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</si>
  <si>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</si>
  <si>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</si>
  <si>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</si>
  <si>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</si>
  <si>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</si>
  <si>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</si>
  <si>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</si>
  <si>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</si>
  <si>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</si>
  <si>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</si>
  <si>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</si>
  <si>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</si>
  <si>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</si>
  <si>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</si>
  <si>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</si>
  <si>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</si>
  <si>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</si>
  <si>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</si>
  <si>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</si>
  <si>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</si>
  <si>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</si>
  <si>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</si>
  <si>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</si>
  <si>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</si>
  <si>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</si>
  <si>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</si>
  <si>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</si>
  <si>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</si>
  <si>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</si>
  <si>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</si>
  <si>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</si>
  <si>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</si>
  <si>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</si>
  <si>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</si>
  <si>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</si>
  <si>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</si>
  <si>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</si>
  <si>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</si>
  <si>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</si>
  <si>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</si>
  <si>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</si>
  <si>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</si>
  <si>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</si>
  <si>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</si>
  <si>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</si>
  <si>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</si>
  <si>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</si>
  <si>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</si>
  <si>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</si>
  <si>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</si>
  <si>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</si>
  <si>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</si>
  <si>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</si>
  <si>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</si>
  <si>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</si>
  <si>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</si>
  <si>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</si>
  <si>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</si>
  <si>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</si>
  <si>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</si>
  <si>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</si>
  <si>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</si>
  <si>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</si>
  <si>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</si>
  <si>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</si>
  <si>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</si>
  <si>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</si>
  <si>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</si>
  <si>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</si>
  <si>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</si>
  <si>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</si>
  <si>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</si>
  <si>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</si>
  <si>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</si>
  <si>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</si>
  <si>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</si>
  <si>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</si>
  <si>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</si>
  <si>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</si>
  <si>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</si>
  <si>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</si>
  <si>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</si>
  <si>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</si>
  <si>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</si>
  <si>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</si>
  <si>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</si>
  <si>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</si>
  <si>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</si>
  <si>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</si>
  <si>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</si>
  <si>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</si>
  <si>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</si>
  <si>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</si>
  <si>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</si>
  <si>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</si>
  <si>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</si>
  <si>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</si>
  <si>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</si>
  <si>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</si>
  <si>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</si>
  <si>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</si>
  <si>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</si>
  <si>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</si>
  <si>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</si>
  <si>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</si>
  <si>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</si>
  <si>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</si>
  <si>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</si>
  <si>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</si>
  <si>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</si>
  <si>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</si>
  <si>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</si>
  <si>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</si>
  <si>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</si>
  <si>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</si>
  <si>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</si>
  <si>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</si>
  <si>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</si>
  <si>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</si>
  <si>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</si>
  <si>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</si>
  <si>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</si>
  <si>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</si>
  <si>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</si>
  <si>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</si>
  <si>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</si>
  <si>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</si>
  <si>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</si>
  <si>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</si>
  <si>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</si>
  <si>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</si>
  <si>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</si>
  <si>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</si>
  <si>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</si>
  <si>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</si>
  <si>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</si>
  <si>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</si>
  <si>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</si>
  <si>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</si>
  <si>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</si>
  <si>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</si>
  <si>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</si>
  <si>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</si>
  <si>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</si>
  <si>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</si>
  <si>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</si>
  <si>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</si>
  <si>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</si>
  <si>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</si>
  <si>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</si>
  <si>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</si>
  <si>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</si>
  <si>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</si>
  <si>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</si>
  <si>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</si>
  <si>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</si>
  <si>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</si>
  <si>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</si>
  <si>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</si>
  <si>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</si>
  <si>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</si>
  <si>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</si>
  <si>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</si>
  <si>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</si>
  <si>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</si>
  <si>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</si>
  <si>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</si>
  <si>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</si>
  <si>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</si>
  <si>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</si>
  <si>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</si>
  <si>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</si>
  <si>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</si>
  <si>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</si>
  <si>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</si>
  <si>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</si>
  <si>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</si>
  <si>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</si>
  <si>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</si>
  <si>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</si>
  <si>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</si>
  <si>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</si>
  <si>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</si>
  <si>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</si>
  <si>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</si>
  <si>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</si>
  <si>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</si>
  <si>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</si>
  <si>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</si>
  <si>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</si>
  <si>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</si>
  <si>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</si>
  <si>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</si>
  <si>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</si>
  <si>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</si>
  <si>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</si>
  <si>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</si>
  <si>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</si>
  <si>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</si>
  <si>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</si>
  <si>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</si>
  <si>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</si>
  <si>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</si>
  <si>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</si>
  <si>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</si>
  <si>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</si>
  <si>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</si>
  <si>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</si>
  <si>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</si>
  <si>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</si>
  <si>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</si>
  <si>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</si>
  <si>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</si>
  <si>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</si>
  <si>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</si>
  <si>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</si>
  <si>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</si>
  <si>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</si>
  <si>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</si>
  <si>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</si>
  <si>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</si>
  <si>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</si>
  <si>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</si>
  <si>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</si>
  <si>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</si>
  <si>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</si>
  <si>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</si>
  <si>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</si>
  <si>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</si>
  <si>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</si>
  <si>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</si>
  <si>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</si>
  <si>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</si>
  <si>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</si>
  <si>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</si>
  <si>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</si>
  <si>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</si>
  <si>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</si>
  <si>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</si>
  <si>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</si>
  <si>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</si>
  <si>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</si>
  <si>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</si>
  <si>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</si>
  <si>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</si>
  <si>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</si>
  <si>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</si>
  <si>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</si>
  <si>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</si>
  <si>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</si>
  <si>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</si>
  <si>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</si>
  <si>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</si>
  <si>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</si>
  <si>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</si>
  <si>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</si>
  <si>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</si>
  <si>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</si>
  <si>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</si>
  <si>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</si>
  <si>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</si>
  <si>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</si>
  <si>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</si>
  <si>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</si>
  <si>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</si>
  <si>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</si>
  <si>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</si>
  <si>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</si>
  <si>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</si>
  <si>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</si>
  <si>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</si>
  <si>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</si>
  <si>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</si>
  <si>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</si>
  <si>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</si>
  <si>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</si>
  <si>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</si>
  <si>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</si>
  <si>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</si>
  <si>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</si>
  <si>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</si>
  <si>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</si>
  <si>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</si>
  <si>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</si>
  <si>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</si>
  <si>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</si>
  <si>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</si>
  <si>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</si>
  <si>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</si>
  <si>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</si>
  <si>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</si>
  <si>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</si>
  <si>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</si>
  <si>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</si>
  <si>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</si>
  <si>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</si>
  <si>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</si>
  <si>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</si>
  <si>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</si>
  <si>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</si>
  <si>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</si>
  <si>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</si>
  <si>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</si>
  <si>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</si>
  <si>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</si>
  <si>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</si>
  <si>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</si>
  <si>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</si>
  <si>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</si>
  <si>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</si>
  <si>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</si>
  <si>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</si>
  <si>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</si>
  <si>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</si>
  <si>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</si>
  <si>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</si>
  <si>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</si>
  <si>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</si>
  <si>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</si>
  <si>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</si>
  <si>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</si>
  <si>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</si>
  <si>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</si>
  <si>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</si>
  <si>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</si>
  <si>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</si>
  <si>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</si>
  <si>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</si>
  <si>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</si>
  <si>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</si>
  <si>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</si>
  <si>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</si>
  <si>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</si>
  <si>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</si>
  <si>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</si>
  <si>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</si>
  <si>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</si>
  <si>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</si>
  <si>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</si>
  <si>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</si>
  <si>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</si>
  <si>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</si>
  <si>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</si>
  <si>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</si>
  <si>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</si>
  <si>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</si>
  <si>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</si>
  <si>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</si>
  <si>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</si>
  <si>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</si>
  <si>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</si>
  <si>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</si>
  <si>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</si>
  <si>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</si>
  <si>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</si>
  <si>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</si>
  <si>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</si>
  <si>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</si>
  <si>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</si>
  <si>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</si>
  <si>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</si>
  <si>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</si>
  <si>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</si>
  <si>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</si>
  <si>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</si>
  <si>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</si>
  <si>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</si>
  <si>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</si>
  <si>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</si>
  <si>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</si>
  <si>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</si>
  <si>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</si>
  <si>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</si>
  <si>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</si>
  <si>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</si>
  <si>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</si>
  <si>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</si>
  <si>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</si>
  <si>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</si>
  <si>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</si>
  <si>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</si>
  <si>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</si>
  <si>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</si>
  <si>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</si>
  <si>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</si>
  <si>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</si>
  <si>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</si>
  <si>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</si>
  <si>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</si>
  <si>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</si>
  <si>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</si>
  <si>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</si>
  <si>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</si>
  <si>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</si>
  <si>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</si>
  <si>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</si>
  <si>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</si>
  <si>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</si>
  <si>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</si>
  <si>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</si>
  <si>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</si>
  <si>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</si>
  <si>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</si>
  <si>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</si>
  <si>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</si>
  <si>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</si>
  <si>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</si>
  <si>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</si>
  <si>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</si>
  <si>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</si>
  <si>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</si>
  <si>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</si>
  <si>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</si>
  <si>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</si>
  <si>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</si>
  <si>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</si>
  <si>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</si>
  <si>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</si>
  <si>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</si>
  <si>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</si>
  <si>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</si>
  <si>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</si>
  <si>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</si>
  <si>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</si>
  <si>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</si>
  <si>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</si>
  <si>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</si>
  <si>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</si>
  <si>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</si>
  <si>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</si>
  <si>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</si>
  <si>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</si>
  <si>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</si>
  <si>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</si>
  <si>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</si>
  <si>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</si>
  <si>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</si>
  <si>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</si>
  <si>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</si>
  <si>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</si>
  <si>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</si>
  <si>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</si>
  <si>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</si>
  <si>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</si>
  <si>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</si>
  <si>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</si>
  <si>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</si>
  <si>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</si>
  <si>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</si>
  <si>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</si>
  <si>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</si>
  <si>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</si>
  <si>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</si>
  <si>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</si>
  <si>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</si>
  <si>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</si>
  <si>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</si>
  <si>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</si>
  <si>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</si>
  <si>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</si>
  <si>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</si>
  <si>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</si>
  <si>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</si>
  <si>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</si>
  <si>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</si>
  <si>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</si>
  <si>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</si>
  <si>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</si>
  <si>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</si>
  <si>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</si>
  <si>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</si>
  <si>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</si>
  <si>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</si>
  <si>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</si>
  <si>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</si>
  <si>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</si>
  <si>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</si>
  <si>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</si>
  <si>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</si>
  <si>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</si>
  <si>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</si>
  <si>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</si>
  <si>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</si>
  <si>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</si>
  <si>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</si>
  <si>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</si>
  <si>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</si>
  <si>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</si>
  <si>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</si>
  <si>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</si>
  <si>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</si>
  <si>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</si>
  <si>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</si>
  <si>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</si>
  <si>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</si>
  <si>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</si>
  <si>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</si>
  <si>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</si>
  <si>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</si>
  <si>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</si>
  <si>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</si>
  <si>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</si>
  <si>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</si>
  <si>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</si>
  <si>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</si>
  <si>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</si>
  <si>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</si>
  <si>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</si>
  <si>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</si>
  <si>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</si>
  <si>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</si>
  <si>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</si>
  <si>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</si>
  <si>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</si>
  <si>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</si>
  <si>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</si>
  <si>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</si>
  <si>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</si>
  <si>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</si>
  <si>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</si>
  <si>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</si>
  <si>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</si>
  <si>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</si>
  <si>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</si>
  <si>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</si>
  <si>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</si>
  <si>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</si>
  <si>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</si>
  <si>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</si>
  <si>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</si>
  <si>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</si>
  <si>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</si>
  <si>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</si>
  <si>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</si>
  <si>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</si>
  <si>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</si>
  <si>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</si>
  <si>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</si>
  <si>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</si>
  <si>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</si>
  <si>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</si>
  <si>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</si>
  <si>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</si>
  <si>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</si>
  <si>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</si>
  <si>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</si>
  <si>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</si>
  <si>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</si>
  <si>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</si>
  <si>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</si>
  <si>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</si>
  <si>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</si>
  <si>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</si>
  <si>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</si>
  <si>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</si>
  <si>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</si>
  <si>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</si>
  <si>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</si>
  <si>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</si>
  <si>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</si>
  <si>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</si>
  <si>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</si>
  <si>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</si>
  <si>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</si>
  <si>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</si>
  <si>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</si>
  <si>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</si>
  <si>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</si>
  <si>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</si>
  <si>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</si>
  <si>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</si>
  <si>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</si>
  <si>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</si>
  <si>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</si>
  <si>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</si>
  <si>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</si>
  <si>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</si>
  <si>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</si>
  <si>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</si>
  <si>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</si>
  <si>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</si>
  <si>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</si>
  <si>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</si>
  <si>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</si>
  <si>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</si>
  <si>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</si>
  <si>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</si>
  <si>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</si>
  <si>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</si>
  <si>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</si>
  <si>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</si>
  <si>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</si>
  <si>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</si>
  <si>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</si>
  <si>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</si>
  <si>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</si>
  <si>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</si>
  <si>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</si>
  <si>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</si>
  <si>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</si>
  <si>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</si>
  <si>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</si>
  <si>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</si>
  <si>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</si>
  <si>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</si>
  <si>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</si>
  <si>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</si>
  <si>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</si>
  <si>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</si>
  <si>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</si>
  <si>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</si>
  <si>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</si>
  <si>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</si>
  <si>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</si>
  <si>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</si>
  <si>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</si>
  <si>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</si>
  <si>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</si>
  <si>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</si>
  <si>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</si>
  <si>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</si>
  <si>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</si>
  <si>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</si>
  <si>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</si>
  <si>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</si>
  <si>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</si>
  <si>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</si>
  <si>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</si>
  <si>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</si>
  <si>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</si>
  <si>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</si>
  <si>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</si>
  <si>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</si>
  <si>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</si>
  <si>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</si>
  <si>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</si>
  <si>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</si>
  <si>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</si>
  <si>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</si>
  <si>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</si>
  <si>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</si>
  <si>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</si>
  <si>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</si>
  <si>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</si>
  <si>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</si>
  <si>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</si>
  <si>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</si>
  <si>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</si>
  <si>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</si>
  <si>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</si>
  <si>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</si>
  <si>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</si>
  <si>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</si>
  <si>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</si>
  <si>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</si>
  <si>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</si>
  <si>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</si>
  <si>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</si>
  <si>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</si>
  <si>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</si>
  <si>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</si>
  <si>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</si>
  <si>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</si>
  <si>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</si>
  <si>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coupoun</t>
  </si>
  <si>
    <t>CalculatedPrice</t>
  </si>
  <si>
    <t>Column1</t>
  </si>
  <si>
    <r>
      <t>Validation</t>
    </r>
    <r>
      <rPr>
        <sz val="11"/>
        <color theme="1"/>
        <rFont val="Calibri"/>
        <family val="2"/>
        <scheme val="minor"/>
      </rPr>
      <t>.</t>
    </r>
  </si>
  <si>
    <t>Month</t>
  </si>
  <si>
    <t>year</t>
  </si>
  <si>
    <t>Quarter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</si>
  <si>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</si>
  <si>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</si>
  <si>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</si>
  <si>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</si>
  <si>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</si>
  <si>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</si>
  <si>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</si>
  <si>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</si>
  <si>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</si>
  <si>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</si>
  <si>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</si>
  <si>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</si>
  <si>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</si>
  <si>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</si>
  <si>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>Grand Total</t>
  </si>
  <si>
    <t>Sum of TotalPrice</t>
  </si>
  <si>
    <t/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</si>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</sst>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8-4C32-B615-CCA95F993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392959"/>
        <c:axId val="1567385279"/>
      </c:lineChart>
      <c:catAx>
        <c:axId val="156739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85279"/>
        <c:crosses val="autoZero"/>
        <c:auto val="1"/>
        <c:lblAlgn val="ctr"/>
        <c:lblOffset val="100"/>
        <c:noMultiLvlLbl val="0"/>
      </c:catAx>
      <c:valAx>
        <c:axId val="15673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9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  <a:sp3d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  <a:sp3d>
              <a:contourClr>
                <a:schemeClr val="bg2">
                  <a:lumMod val="25000"/>
                </a:schemeClr>
              </a:contourClr>
            </a:sp3d>
          </c:spPr>
          <c:invertIfNegative val="0"/>
          <c:cat>
            <c:strRef>
              <c:f>Sheet3!$A$4:$A$12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7-4D23-9F40-B9832583A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7654815"/>
        <c:axId val="1417660095"/>
        <c:axId val="0"/>
      </c:bar3DChart>
      <c:catAx>
        <c:axId val="14176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60095"/>
        <c:crosses val="autoZero"/>
        <c:auto val="1"/>
        <c:lblAlgn val="ctr"/>
        <c:lblOffset val="100"/>
        <c:noMultiLvlLbl val="0"/>
      </c:catAx>
      <c:valAx>
        <c:axId val="14176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5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(1).xlsx]Sheet4!PivotTable3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D-476D-9E6E-FD0326409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148590</xdr:rowOff>
    </xdr:from>
    <xdr:to>
      <xdr:col>11</xdr:col>
      <xdr:colOff>266700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DCF1E-E7B3-7B7E-6BBD-D6F0552AC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148590</xdr:rowOff>
    </xdr:from>
    <xdr:to>
      <xdr:col>11</xdr:col>
      <xdr:colOff>266700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393C5-D798-5A4D-DE48-E5B3056F1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148590</xdr:rowOff>
    </xdr:from>
    <xdr:to>
      <xdr:col>11</xdr:col>
      <xdr:colOff>419100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1A811-B905-A652-1AA2-38C526C8B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5.482223032406" createdVersion="8" refreshedVersion="8" minRefreshableVersion="3" recordCount="1207" xr:uid="{86E1A90C-F205-4712-AF11-FA220F5FA82D}">
  <cacheSource type="worksheet">
    <worksheetSource ref="A1:T1048576" sheet="Sheet1"/>
  </cacheSource>
  <cacheFields count="20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  <cacheField name="CalculatedPrice" numFmtId="0">
      <sharedItems containsString="0" containsBlank="1" containsNumber="1" minValue="11.39" maxValue="3456.3999999999996"/>
    </cacheField>
    <cacheField name="Validation." numFmtId="0">
      <sharedItems containsBlank="1"/>
    </cacheField>
    <cacheField name="Month" numFmtId="0">
      <sharedItems containsBlank="1" count="13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  <m/>
      </sharedItems>
    </cacheField>
    <cacheField name="year" numFmtId="0">
      <sharedItems containsString="0" containsBlank="1" containsNumber="1" containsInteger="1" minValue="2023" maxValue="2025"/>
    </cacheField>
    <cacheField name="Quarter" numFmtId="0">
      <sharedItems containsBlank="1"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7">
  <r>
    <s v="ORD200000"/>
    <d v="2023-01-04T00:00:00"/>
    <s v="C72649"/>
    <x v="0"/>
    <n v="5"/>
    <n v="570.62"/>
    <s v="928 Main St"/>
    <x v="0"/>
    <s v="Shipped"/>
    <s v="TRK37947903"/>
    <n v="7"/>
    <s v="SAVE10"/>
    <s v="Instagram"/>
    <n v="2853.1"/>
    <n v="2853.1"/>
    <s v="Correct"/>
    <x v="0"/>
    <n v="2023"/>
    <s v="Q1"/>
    <s v="Monitor"/>
  </r>
  <r>
    <s v="ORD200001"/>
    <d v="2024-08-23T00:00:00"/>
    <s v="C75739"/>
    <x v="1"/>
    <n v="2"/>
    <n v="151.35"/>
    <s v="823 Main St"/>
    <x v="1"/>
    <s v="Shipped"/>
    <s v="TRK91186779"/>
    <n v="3"/>
    <s v="SAVE10"/>
    <s v="Referral"/>
    <n v="302.7"/>
    <n v="302.7"/>
    <s v="Correct"/>
    <x v="1"/>
    <n v="2024"/>
    <s v="Q3"/>
    <s v="Phone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s v="Email"/>
    <n v="2753.4"/>
    <n v="2753.3999999999996"/>
    <s v="Correct"/>
    <x v="2"/>
    <n v="2024"/>
    <s v="Q1"/>
    <s v="Tablet"/>
  </r>
  <r>
    <s v="ORD200003"/>
    <d v="2023-10-15T00:00:00"/>
    <s v="C33540"/>
    <x v="3"/>
    <n v="1"/>
    <n v="273.19"/>
    <s v="275 Main St"/>
    <x v="0"/>
    <s v="Returned"/>
    <s v="TRK62788070"/>
    <n v="5"/>
    <s v="SAVE10"/>
    <s v="Facebook"/>
    <n v="273.19"/>
    <n v="273.19"/>
    <s v="Correct"/>
    <x v="3"/>
    <n v="2023"/>
    <s v="Q4"/>
    <s v="Chair"/>
  </r>
  <r>
    <s v="ORD200004"/>
    <d v="2025-05-08T00:00:00"/>
    <s v="C81840"/>
    <x v="4"/>
    <n v="4"/>
    <n v="626.01"/>
    <s v="668 Main St"/>
    <x v="1"/>
    <s v="Delivered"/>
    <s v="TRK29241424"/>
    <n v="8"/>
    <s v="SAVE10"/>
    <s v="Email"/>
    <n v="2504.04"/>
    <n v="2504.04"/>
    <s v="Correct"/>
    <x v="4"/>
    <n v="2025"/>
    <s v="Q2"/>
    <s v="Printer"/>
  </r>
  <r>
    <s v="ORD200005"/>
    <d v="2023-10-23T00:00:00"/>
    <s v="C37249"/>
    <x v="1"/>
    <n v="2"/>
    <n v="245.86"/>
    <s v="934 Main St"/>
    <x v="2"/>
    <s v="Shipped"/>
    <s v="TRK72976927"/>
    <n v="4"/>
    <s v="SAVE10"/>
    <s v="Instagram"/>
    <n v="491.72"/>
    <n v="491.72"/>
    <s v="Correct"/>
    <x v="3"/>
    <n v="2023"/>
    <s v="Q4"/>
    <s v="Phone"/>
  </r>
  <r>
    <s v="ORD200006"/>
    <d v="2025-06-17T00:00:00"/>
    <s v="C83492"/>
    <x v="5"/>
    <n v="1"/>
    <n v="664.42"/>
    <s v="986 Main St"/>
    <x v="3"/>
    <s v="Returned"/>
    <s v="TRK96417362"/>
    <n v="6"/>
    <s v="SAVE10"/>
    <s v="Facebook"/>
    <n v="664.42"/>
    <n v="664.42"/>
    <s v="Correct"/>
    <x v="5"/>
    <n v="2025"/>
    <s v="Q2"/>
    <s v="Laptop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s v="Facebook"/>
    <n v="747.75"/>
    <n v="747.75"/>
    <s v="Correct"/>
    <x v="4"/>
    <n v="2023"/>
    <s v="Q2"/>
    <s v="Monitor"/>
  </r>
  <r>
    <s v="ORD200008"/>
    <d v="2025-04-02T00:00:00"/>
    <s v="C26817"/>
    <x v="1"/>
    <n v="2"/>
    <n v="134.28"/>
    <s v="904 Main St"/>
    <x v="3"/>
    <s v="Cancelled"/>
    <s v="TRK61042692"/>
    <n v="2"/>
    <s v="no coupoun"/>
    <s v="Email"/>
    <n v="268.56"/>
    <n v="268.56"/>
    <s v="Correct"/>
    <x v="6"/>
    <n v="2025"/>
    <s v="Q2"/>
    <s v="Phone"/>
  </r>
  <r>
    <s v="ORD200009"/>
    <d v="2023-11-21T00:00:00"/>
    <s v="C31946"/>
    <x v="6"/>
    <n v="4"/>
    <n v="509.38"/>
    <s v="102 Main St"/>
    <x v="2"/>
    <s v="Shipped"/>
    <s v="TRK33478363"/>
    <n v="6"/>
    <s v="SAVE10"/>
    <s v="Google"/>
    <n v="2037.52"/>
    <n v="2037.52"/>
    <s v="Correct"/>
    <x v="7"/>
    <n v="2023"/>
    <s v="Q4"/>
    <s v="Desk"/>
  </r>
  <r>
    <s v="ORD200010"/>
    <d v="2023-12-29T00:00:00"/>
    <s v="C43443"/>
    <x v="2"/>
    <n v="5"/>
    <n v="625.97"/>
    <s v="333 Main St"/>
    <x v="2"/>
    <s v="Returned"/>
    <s v="TRK98859248"/>
    <n v="9"/>
    <s v="WINTER15"/>
    <s v="Instagram"/>
    <n v="3129.85"/>
    <n v="3129.8500000000004"/>
    <s v="Correct"/>
    <x v="8"/>
    <n v="2023"/>
    <s v="Q4"/>
    <s v="Tablet"/>
  </r>
  <r>
    <s v="ORD200011"/>
    <d v="2024-02-17T00:00:00"/>
    <s v="C93861"/>
    <x v="0"/>
    <n v="3"/>
    <n v="49.14"/>
    <s v="831 Main St"/>
    <x v="1"/>
    <s v="Returned"/>
    <s v="TRK48234646"/>
    <n v="7"/>
    <s v="SAVE10"/>
    <s v="Email"/>
    <n v="147.41999999999999"/>
    <n v="147.42000000000002"/>
    <s v="Correct"/>
    <x v="2"/>
    <n v="2024"/>
    <s v="Q1"/>
    <s v="Monitor"/>
  </r>
  <r>
    <s v="ORD200012"/>
    <d v="2024-10-15T00:00:00"/>
    <s v="C38785"/>
    <x v="0"/>
    <n v="2"/>
    <n v="180.5"/>
    <s v="179 Main St"/>
    <x v="0"/>
    <s v="Pending"/>
    <s v="TRK20419991"/>
    <n v="6"/>
    <s v="FREESHIP"/>
    <s v="Referral"/>
    <n v="361"/>
    <n v="361"/>
    <s v="Correct"/>
    <x v="3"/>
    <n v="2024"/>
    <s v="Q4"/>
    <s v="Monitor"/>
  </r>
  <r>
    <s v="ORD200013"/>
    <d v="2023-08-30T00:00:00"/>
    <s v="C88348"/>
    <x v="5"/>
    <n v="3"/>
    <n v="201.49"/>
    <s v="903 Main St"/>
    <x v="2"/>
    <s v="Returned"/>
    <s v="TRK81913874"/>
    <n v="4"/>
    <s v="FREESHIP"/>
    <s v="Facebook"/>
    <n v="604.47"/>
    <n v="604.47"/>
    <s v="Correct"/>
    <x v="1"/>
    <n v="2023"/>
    <s v="Q3"/>
    <s v="Laptop"/>
  </r>
  <r>
    <s v="ORD200014"/>
    <d v="2023-03-27T00:00:00"/>
    <s v="C98474"/>
    <x v="2"/>
    <n v="2"/>
    <n v="393.33"/>
    <s v="980 Main St"/>
    <x v="0"/>
    <s v="Pending"/>
    <s v="TRK79186539"/>
    <n v="3"/>
    <s v="SAVE10"/>
    <s v="Instagram"/>
    <n v="786.66"/>
    <n v="786.66"/>
    <s v="Correct"/>
    <x v="9"/>
    <n v="2023"/>
    <s v="Q1"/>
    <s v="Tablet"/>
  </r>
  <r>
    <s v="ORD200015"/>
    <d v="2023-07-17T00:00:00"/>
    <s v="C39416"/>
    <x v="4"/>
    <n v="1"/>
    <n v="473.96"/>
    <s v="942 Main St"/>
    <x v="4"/>
    <s v="Delivered"/>
    <s v="TRK54930938"/>
    <n v="3"/>
    <s v="no coupoun"/>
    <s v="Google"/>
    <n v="473.96"/>
    <n v="473.96"/>
    <s v="Correct"/>
    <x v="10"/>
    <n v="2023"/>
    <s v="Q3"/>
    <s v="Printer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s v="Email"/>
    <n v="1067.6199999999999"/>
    <n v="1067.6199999999999"/>
    <s v="Correct"/>
    <x v="0"/>
    <n v="2023"/>
    <s v="Q1"/>
    <s v="Printer"/>
  </r>
  <r>
    <s v="ORD200017"/>
    <d v="2024-03-02T00:00:00"/>
    <s v="C60672"/>
    <x v="2"/>
    <n v="1"/>
    <n v="423.4"/>
    <s v="382 Main St"/>
    <x v="0"/>
    <s v="Shipped"/>
    <s v="TRK11972116"/>
    <n v="3"/>
    <s v="no coupoun"/>
    <s v="Referral"/>
    <n v="423.4"/>
    <n v="423.4"/>
    <s v="Correct"/>
    <x v="9"/>
    <n v="2024"/>
    <s v="Q1"/>
    <s v="Tablet"/>
  </r>
  <r>
    <s v="ORD200018"/>
    <d v="2025-03-26T00:00:00"/>
    <s v="C84329"/>
    <x v="6"/>
    <n v="1"/>
    <n v="431.44"/>
    <s v="891 Main St"/>
    <x v="3"/>
    <s v="Pending"/>
    <s v="TRK65191045"/>
    <n v="3"/>
    <s v="SAVE10"/>
    <s v="Facebook"/>
    <n v="431.44"/>
    <n v="431.44"/>
    <s v="Correct"/>
    <x v="9"/>
    <n v="2025"/>
    <s v="Q1"/>
    <s v="Desk"/>
  </r>
  <r>
    <s v="ORD200019"/>
    <d v="2023-01-23T00:00:00"/>
    <s v="C14552"/>
    <x v="0"/>
    <n v="5"/>
    <n v="224"/>
    <s v="273 Main St"/>
    <x v="4"/>
    <s v="Returned"/>
    <s v="TRK59101365"/>
    <n v="9"/>
    <s v="SAVE10"/>
    <s v="Google"/>
    <n v="1120"/>
    <n v="1120"/>
    <s v="Correct"/>
    <x v="0"/>
    <n v="2023"/>
    <s v="Q1"/>
    <s v="Monitor"/>
  </r>
  <r>
    <s v="ORD200020"/>
    <d v="2023-05-08T00:00:00"/>
    <s v="C54829"/>
    <x v="3"/>
    <n v="5"/>
    <n v="62.51"/>
    <s v="587 Main St"/>
    <x v="4"/>
    <s v="Pending"/>
    <s v="TRK16718651"/>
    <n v="9"/>
    <s v="WINTER15"/>
    <s v="Instagram"/>
    <n v="312.55"/>
    <n v="312.55"/>
    <s v="Correct"/>
    <x v="4"/>
    <n v="2023"/>
    <s v="Q2"/>
    <s v="Chair"/>
  </r>
  <r>
    <s v="ORD200021"/>
    <d v="2024-11-17T00:00:00"/>
    <s v="C99023"/>
    <x v="0"/>
    <n v="4"/>
    <n v="342.95"/>
    <s v="569 Main St"/>
    <x v="4"/>
    <s v="Delivered"/>
    <s v="TRK52646983"/>
    <n v="6"/>
    <s v="no coupoun"/>
    <s v="Google"/>
    <n v="1371.8"/>
    <n v="1371.8"/>
    <s v="Correct"/>
    <x v="7"/>
    <n v="2024"/>
    <s v="Q4"/>
    <s v="Monitor"/>
  </r>
  <r>
    <s v="ORD200022"/>
    <d v="2023-01-29T00:00:00"/>
    <s v="C34416"/>
    <x v="0"/>
    <n v="2"/>
    <n v="49.62"/>
    <s v="633 Main St"/>
    <x v="1"/>
    <s v="Pending"/>
    <s v="TRK75937350"/>
    <n v="2"/>
    <s v="SAVE10"/>
    <s v="Google"/>
    <n v="99.24"/>
    <n v="99.24"/>
    <s v="Correct"/>
    <x v="0"/>
    <n v="2023"/>
    <s v="Q1"/>
    <s v="Monitor"/>
  </r>
  <r>
    <s v="ORD200023"/>
    <d v="2025-04-09T00:00:00"/>
    <s v="C42372"/>
    <x v="1"/>
    <n v="4"/>
    <n v="273.25"/>
    <s v="755 Main St"/>
    <x v="0"/>
    <s v="Cancelled"/>
    <s v="TRK36168083"/>
    <n v="5"/>
    <s v="FREESHIP"/>
    <s v="Referral"/>
    <n v="1093"/>
    <n v="1093"/>
    <s v="Correct"/>
    <x v="6"/>
    <n v="2025"/>
    <s v="Q2"/>
    <s v="Phone"/>
  </r>
  <r>
    <s v="ORD200024"/>
    <d v="2024-10-30T00:00:00"/>
    <s v="C17470"/>
    <x v="5"/>
    <n v="2"/>
    <n v="230.95"/>
    <s v="956 Main St"/>
    <x v="1"/>
    <s v="Delivered"/>
    <s v="TRK28775057"/>
    <n v="3"/>
    <s v="WINTER15"/>
    <s v="Referral"/>
    <n v="461.9"/>
    <n v="461.9"/>
    <s v="Correct"/>
    <x v="3"/>
    <n v="2024"/>
    <s v="Q4"/>
    <s v="Laptop"/>
  </r>
  <r>
    <s v="ORD200025"/>
    <d v="2024-07-24T00:00:00"/>
    <s v="C42577"/>
    <x v="0"/>
    <n v="1"/>
    <n v="399.98"/>
    <s v="709 Main St"/>
    <x v="0"/>
    <s v="Delivered"/>
    <s v="TRK69423327"/>
    <n v="3"/>
    <s v="WINTER15"/>
    <s v="Email"/>
    <n v="399.98"/>
    <n v="399.98"/>
    <s v="Correct"/>
    <x v="10"/>
    <n v="2024"/>
    <s v="Q3"/>
    <s v="Monitor"/>
  </r>
  <r>
    <s v="ORD200026"/>
    <d v="2024-03-06T00:00:00"/>
    <s v="C21944"/>
    <x v="5"/>
    <n v="5"/>
    <n v="59.55"/>
    <s v="296 Main St"/>
    <x v="1"/>
    <s v="Delivered"/>
    <s v="TRK80276812"/>
    <n v="6"/>
    <s v="no coupoun"/>
    <s v="Referral"/>
    <n v="297.75"/>
    <n v="297.75"/>
    <s v="Correct"/>
    <x v="9"/>
    <n v="2024"/>
    <s v="Q1"/>
    <s v="Laptop"/>
  </r>
  <r>
    <s v="ORD200027"/>
    <d v="2024-02-22T00:00:00"/>
    <s v="C97593"/>
    <x v="4"/>
    <n v="1"/>
    <n v="472.74"/>
    <s v="881 Main St"/>
    <x v="1"/>
    <s v="Shipped"/>
    <s v="TRK89117573"/>
    <n v="6"/>
    <s v="WINTER15"/>
    <s v="Google"/>
    <n v="472.74"/>
    <n v="472.74"/>
    <s v="Correct"/>
    <x v="2"/>
    <n v="2024"/>
    <s v="Q1"/>
    <s v="Printer"/>
  </r>
  <r>
    <s v="ORD200028"/>
    <d v="2023-11-21T00:00:00"/>
    <s v="C59823"/>
    <x v="1"/>
    <n v="4"/>
    <n v="160.07"/>
    <s v="568 Main St"/>
    <x v="1"/>
    <s v="Pending"/>
    <s v="TRK65895539"/>
    <n v="5"/>
    <s v="no coupoun"/>
    <s v="Email"/>
    <n v="640.28"/>
    <n v="640.28"/>
    <s v="Correct"/>
    <x v="7"/>
    <n v="2023"/>
    <s v="Q4"/>
    <s v="Phone"/>
  </r>
  <r>
    <s v="ORD200029"/>
    <d v="2024-09-20T00:00:00"/>
    <s v="C33260"/>
    <x v="6"/>
    <n v="3"/>
    <n v="423.53"/>
    <s v="930 Main St"/>
    <x v="2"/>
    <s v="Delivered"/>
    <s v="TRK59744090"/>
    <n v="6"/>
    <s v="SAVE10"/>
    <s v="Referral"/>
    <n v="1270.5899999999999"/>
    <n v="1270.5899999999999"/>
    <s v="Correct"/>
    <x v="11"/>
    <n v="2024"/>
    <s v="Q3"/>
    <s v="Desk"/>
  </r>
  <r>
    <s v="ORD200030"/>
    <d v="2025-03-22T00:00:00"/>
    <s v="C44267"/>
    <x v="0"/>
    <n v="2"/>
    <n v="426.7"/>
    <s v="895 Main St"/>
    <x v="1"/>
    <s v="Pending"/>
    <s v="TRK54751444"/>
    <n v="5"/>
    <s v="SAVE10"/>
    <s v="Referral"/>
    <n v="853.4"/>
    <n v="853.4"/>
    <s v="Correct"/>
    <x v="9"/>
    <n v="2025"/>
    <s v="Q1"/>
    <s v="Monitor"/>
  </r>
  <r>
    <s v="ORD200031"/>
    <d v="2023-06-30T00:00:00"/>
    <s v="C26445"/>
    <x v="3"/>
    <n v="3"/>
    <n v="500.08"/>
    <s v="996 Main St"/>
    <x v="0"/>
    <s v="Returned"/>
    <s v="TRK31229981"/>
    <n v="6"/>
    <s v="no coupoun"/>
    <s v="Facebook"/>
    <n v="1500.24"/>
    <n v="1500.24"/>
    <s v="Correct"/>
    <x v="5"/>
    <n v="2023"/>
    <s v="Q2"/>
    <s v="Chair"/>
  </r>
  <r>
    <s v="ORD200032"/>
    <d v="2023-05-01T00:00:00"/>
    <s v="C12388"/>
    <x v="2"/>
    <n v="5"/>
    <n v="536.72"/>
    <s v="830 Main St"/>
    <x v="4"/>
    <s v="Delivered"/>
    <s v="TRK99261395"/>
    <n v="10"/>
    <s v="no coupoun"/>
    <s v="Email"/>
    <n v="2683.6"/>
    <n v="2683.6000000000004"/>
    <s v="Correct"/>
    <x v="4"/>
    <n v="2023"/>
    <s v="Q2"/>
    <s v="Tablet"/>
  </r>
  <r>
    <s v="ORD200033"/>
    <d v="2023-06-05T00:00:00"/>
    <s v="C52184"/>
    <x v="3"/>
    <n v="1"/>
    <n v="162.77000000000001"/>
    <s v="912 Main St"/>
    <x v="1"/>
    <s v="Cancelled"/>
    <s v="TRK73312471"/>
    <n v="4"/>
    <s v="no coupoun"/>
    <s v="Facebook"/>
    <n v="162.77000000000001"/>
    <n v="162.77000000000001"/>
    <s v="Correct"/>
    <x v="5"/>
    <n v="2023"/>
    <s v="Q2"/>
    <s v="Chair"/>
  </r>
  <r>
    <s v="ORD200034"/>
    <d v="2023-01-07T00:00:00"/>
    <s v="C67195"/>
    <x v="3"/>
    <n v="4"/>
    <n v="576.52"/>
    <s v="926 Main St"/>
    <x v="2"/>
    <s v="Pending"/>
    <s v="TRK55467915"/>
    <n v="5"/>
    <s v="WINTER15"/>
    <s v="Facebook"/>
    <n v="2306.08"/>
    <n v="2306.08"/>
    <s v="Correct"/>
    <x v="0"/>
    <n v="2023"/>
    <s v="Q1"/>
    <s v="Chair"/>
  </r>
  <r>
    <s v="ORD200035"/>
    <d v="2024-12-07T00:00:00"/>
    <s v="C50304"/>
    <x v="0"/>
    <n v="2"/>
    <n v="465.15"/>
    <s v="128 Main St"/>
    <x v="1"/>
    <s v="Shipped"/>
    <s v="TRK46850888"/>
    <n v="2"/>
    <s v="SAVE10"/>
    <s v="Facebook"/>
    <n v="930.3"/>
    <n v="930.3"/>
    <s v="Correct"/>
    <x v="8"/>
    <n v="2024"/>
    <s v="Q4"/>
    <s v="Monitor"/>
  </r>
  <r>
    <s v="ORD200036"/>
    <d v="2025-05-08T00:00:00"/>
    <s v="C59337"/>
    <x v="5"/>
    <n v="2"/>
    <n v="534.42999999999995"/>
    <s v="465 Main St"/>
    <x v="0"/>
    <s v="Pending"/>
    <s v="TRK50961250"/>
    <n v="5"/>
    <s v="no coupoun"/>
    <s v="Facebook"/>
    <n v="1068.8599999999999"/>
    <n v="1068.8599999999999"/>
    <s v="Correct"/>
    <x v="4"/>
    <n v="2025"/>
    <s v="Q2"/>
    <s v="Laptop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s v="Instagram"/>
    <n v="153.47999999999999"/>
    <n v="153.47999999999999"/>
    <s v="Correct"/>
    <x v="3"/>
    <n v="2024"/>
    <s v="Q4"/>
    <s v="Laptop"/>
  </r>
  <r>
    <s v="ORD200038"/>
    <d v="2024-12-19T00:00:00"/>
    <s v="C15924"/>
    <x v="5"/>
    <n v="1"/>
    <n v="245.89"/>
    <s v="549 Main St"/>
    <x v="0"/>
    <s v="Delivered"/>
    <s v="TRK14835975"/>
    <n v="3"/>
    <s v="SAVE10"/>
    <s v="Google"/>
    <n v="245.89"/>
    <n v="245.89"/>
    <s v="Correct"/>
    <x v="8"/>
    <n v="2024"/>
    <s v="Q4"/>
    <s v="Laptop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s v="Referral"/>
    <n v="769.37999999999988"/>
    <n v="769.37999999999988"/>
    <s v="Correct"/>
    <x v="2"/>
    <n v="2025"/>
    <s v="Q1"/>
    <s v="Printer"/>
  </r>
  <r>
    <s v="ORD200040"/>
    <d v="2023-08-20T00:00:00"/>
    <s v="C84766"/>
    <x v="6"/>
    <n v="2"/>
    <n v="344.02"/>
    <s v="267 Main St"/>
    <x v="1"/>
    <s v="Delivered"/>
    <s v="TRK78967923"/>
    <n v="4"/>
    <s v="FREESHIP"/>
    <s v="Instagram"/>
    <n v="688.04"/>
    <n v="688.04"/>
    <s v="Correct"/>
    <x v="1"/>
    <n v="2023"/>
    <s v="Q3"/>
    <s v="Desk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s v="Instagram"/>
    <n v="1834.35"/>
    <n v="1834.3500000000001"/>
    <s v="Correct"/>
    <x v="8"/>
    <n v="2023"/>
    <s v="Q4"/>
    <s v="Monitor"/>
  </r>
  <r>
    <s v="ORD200042"/>
    <d v="2024-05-06T00:00:00"/>
    <s v="C28712"/>
    <x v="4"/>
    <n v="2"/>
    <n v="151.66"/>
    <s v="980 Main St"/>
    <x v="4"/>
    <s v="Cancelled"/>
    <s v="TRK40772558"/>
    <n v="6"/>
    <s v="no coupoun"/>
    <s v="Instagram"/>
    <n v="303.32"/>
    <n v="303.32"/>
    <s v="Correct"/>
    <x v="4"/>
    <n v="2024"/>
    <s v="Q2"/>
    <s v="Printer"/>
  </r>
  <r>
    <s v="ORD200043"/>
    <d v="2023-12-14T00:00:00"/>
    <s v="C60572"/>
    <x v="3"/>
    <n v="3"/>
    <n v="499.21"/>
    <s v="871 Main St"/>
    <x v="1"/>
    <s v="Cancelled"/>
    <s v="TRK20351666"/>
    <n v="8"/>
    <s v="no coupoun"/>
    <s v="Instagram"/>
    <n v="1497.63"/>
    <n v="1497.6299999999999"/>
    <s v="Correct"/>
    <x v="8"/>
    <n v="2023"/>
    <s v="Q4"/>
    <s v="Chair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s v="Referral"/>
    <n v="1100.3599999999999"/>
    <n v="1100.3599999999999"/>
    <s v="Correct"/>
    <x v="6"/>
    <n v="2025"/>
    <s v="Q2"/>
    <s v="Phone"/>
  </r>
  <r>
    <s v="ORD200045"/>
    <d v="2024-02-10T00:00:00"/>
    <s v="C17388"/>
    <x v="3"/>
    <n v="1"/>
    <n v="317.25"/>
    <s v="157 Main St"/>
    <x v="0"/>
    <s v="Returned"/>
    <s v="TRK47077395"/>
    <n v="1"/>
    <s v="SAVE10"/>
    <s v="Facebook"/>
    <n v="317.25"/>
    <n v="317.25"/>
    <s v="Correct"/>
    <x v="2"/>
    <n v="2024"/>
    <s v="Q1"/>
    <s v="Chair"/>
  </r>
  <r>
    <s v="ORD200046"/>
    <d v="2024-06-26T00:00:00"/>
    <s v="C43212"/>
    <x v="0"/>
    <n v="4"/>
    <n v="550.14"/>
    <s v="223 Main St"/>
    <x v="0"/>
    <s v="Pending"/>
    <s v="TRK25100762"/>
    <n v="4"/>
    <s v="FREESHIP"/>
    <s v="Instagram"/>
    <n v="2200.56"/>
    <n v="2200.56"/>
    <s v="Correct"/>
    <x v="5"/>
    <n v="2024"/>
    <s v="Q2"/>
    <s v="Monitor"/>
  </r>
  <r>
    <s v="ORD200047"/>
    <d v="2023-07-19T00:00:00"/>
    <s v="C38134"/>
    <x v="6"/>
    <n v="2"/>
    <n v="209.94"/>
    <s v="323 Main St"/>
    <x v="2"/>
    <s v="Returned"/>
    <s v="TRK42450754"/>
    <n v="3"/>
    <s v="FREESHIP"/>
    <s v="Email"/>
    <n v="419.88"/>
    <n v="419.88"/>
    <s v="Correct"/>
    <x v="10"/>
    <n v="2023"/>
    <s v="Q3"/>
    <s v="Desk"/>
  </r>
  <r>
    <s v="ORD200048"/>
    <d v="2023-08-26T00:00:00"/>
    <s v="C12408"/>
    <x v="0"/>
    <n v="2"/>
    <n v="80.77"/>
    <s v="464 Main St"/>
    <x v="0"/>
    <s v="Shipped"/>
    <s v="TRK38938858"/>
    <n v="4"/>
    <s v="no coupoun"/>
    <s v="Google"/>
    <n v="161.54"/>
    <n v="161.54"/>
    <s v="Correct"/>
    <x v="1"/>
    <n v="2023"/>
    <s v="Q3"/>
    <s v="Monitor"/>
  </r>
  <r>
    <s v="ORD200049"/>
    <d v="2023-10-07T00:00:00"/>
    <s v="C11985"/>
    <x v="4"/>
    <n v="1"/>
    <n v="30.44"/>
    <s v="633 Main St"/>
    <x v="2"/>
    <s v="Shipped"/>
    <s v="TRK53272402"/>
    <n v="1"/>
    <s v="SAVE10"/>
    <s v="Email"/>
    <n v="30.44"/>
    <n v="30.44"/>
    <s v="Correct"/>
    <x v="3"/>
    <n v="2023"/>
    <s v="Q4"/>
    <s v="Printer"/>
  </r>
  <r>
    <s v="ORD200050"/>
    <d v="2023-07-31T00:00:00"/>
    <s v="C96494"/>
    <x v="2"/>
    <n v="1"/>
    <n v="179.22"/>
    <s v="446 Main St"/>
    <x v="1"/>
    <s v="Cancelled"/>
    <s v="TRK14675049"/>
    <n v="6"/>
    <s v="FREESHIP"/>
    <s v="Instagram"/>
    <n v="179.22"/>
    <n v="179.22"/>
    <s v="Correct"/>
    <x v="10"/>
    <n v="2023"/>
    <s v="Q3"/>
    <s v="Tablet"/>
  </r>
  <r>
    <s v="ORD200051"/>
    <d v="2024-12-30T00:00:00"/>
    <s v="C36778"/>
    <x v="2"/>
    <n v="1"/>
    <n v="388.33"/>
    <s v="434 Main St"/>
    <x v="4"/>
    <s v="Returned"/>
    <s v="TRK67610289"/>
    <n v="2"/>
    <s v="SAVE10"/>
    <s v="Facebook"/>
    <n v="388.33"/>
    <n v="388.33"/>
    <s v="Correct"/>
    <x v="8"/>
    <n v="2024"/>
    <s v="Q4"/>
    <s v="Tablet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s v="Facebook"/>
    <n v="586.44000000000005"/>
    <n v="586.44000000000005"/>
    <s v="Correct"/>
    <x v="11"/>
    <n v="2024"/>
    <s v="Q3"/>
    <s v="Tablet"/>
  </r>
  <r>
    <s v="ORD200053"/>
    <d v="2024-05-18T00:00:00"/>
    <s v="C67551"/>
    <x v="1"/>
    <n v="4"/>
    <n v="488.78"/>
    <s v="512 Main St"/>
    <x v="1"/>
    <s v="Returned"/>
    <s v="TRK94992552"/>
    <n v="5"/>
    <s v="FREESHIP"/>
    <s v="Google"/>
    <n v="1955.12"/>
    <n v="1955.12"/>
    <s v="Correct"/>
    <x v="4"/>
    <n v="2024"/>
    <s v="Q2"/>
    <s v="Phone"/>
  </r>
  <r>
    <s v="ORD200054"/>
    <d v="2025-03-27T00:00:00"/>
    <s v="C48120"/>
    <x v="3"/>
    <n v="1"/>
    <n v="280.25"/>
    <s v="623 Main St"/>
    <x v="1"/>
    <s v="Pending"/>
    <s v="TRK11014449"/>
    <n v="5"/>
    <s v="WINTER15"/>
    <s v="Email"/>
    <n v="280.25"/>
    <n v="280.25"/>
    <s v="Correct"/>
    <x v="9"/>
    <n v="2025"/>
    <s v="Q1"/>
    <s v="Chair"/>
  </r>
  <r>
    <s v="ORD200055"/>
    <d v="2025-06-24T00:00:00"/>
    <s v="C95984"/>
    <x v="4"/>
    <n v="3"/>
    <n v="344.4"/>
    <s v="565 Main St"/>
    <x v="1"/>
    <s v="Cancelled"/>
    <s v="TRK67434829"/>
    <n v="3"/>
    <s v="no coupoun"/>
    <s v="Facebook"/>
    <n v="1033.2"/>
    <n v="1033.1999999999998"/>
    <s v="Correct"/>
    <x v="5"/>
    <n v="2025"/>
    <s v="Q2"/>
    <s v="Printer"/>
  </r>
  <r>
    <s v="ORD200056"/>
    <d v="2023-05-21T00:00:00"/>
    <s v="C54298"/>
    <x v="2"/>
    <n v="3"/>
    <n v="479.21"/>
    <s v="566 Main St"/>
    <x v="4"/>
    <s v="Cancelled"/>
    <s v="TRK62902341"/>
    <n v="5"/>
    <s v="WINTER15"/>
    <s v="Referral"/>
    <n v="1437.63"/>
    <n v="1437.6299999999999"/>
    <s v="Correct"/>
    <x v="4"/>
    <n v="2023"/>
    <s v="Q2"/>
    <s v="Tablet"/>
  </r>
  <r>
    <s v="ORD200057"/>
    <d v="2023-01-22T00:00:00"/>
    <s v="C88036"/>
    <x v="4"/>
    <n v="5"/>
    <n v="314.27"/>
    <s v="842 Main St"/>
    <x v="4"/>
    <s v="Returned"/>
    <s v="TRK52470128"/>
    <n v="6"/>
    <s v="SAVE10"/>
    <s v="Instagram"/>
    <n v="1571.35"/>
    <n v="1571.35"/>
    <s v="Correct"/>
    <x v="0"/>
    <n v="2023"/>
    <s v="Q1"/>
    <s v="Printer"/>
  </r>
  <r>
    <s v="ORD200058"/>
    <d v="2023-01-15T00:00:00"/>
    <s v="C60190"/>
    <x v="1"/>
    <n v="4"/>
    <n v="474.69"/>
    <s v="202 Main St"/>
    <x v="3"/>
    <s v="Cancelled"/>
    <s v="TRK70857868"/>
    <n v="6"/>
    <s v="SAVE10"/>
    <s v="Google"/>
    <n v="1898.76"/>
    <n v="1898.76"/>
    <s v="Correct"/>
    <x v="0"/>
    <n v="2023"/>
    <s v="Q1"/>
    <s v="Phone"/>
  </r>
  <r>
    <s v="ORD200059"/>
    <d v="2024-09-11T00:00:00"/>
    <s v="C97603"/>
    <x v="3"/>
    <n v="4"/>
    <n v="593.27"/>
    <s v="811 Main St"/>
    <x v="1"/>
    <s v="Shipped"/>
    <s v="TRK47055028"/>
    <n v="5"/>
    <s v="no coupoun"/>
    <s v="Facebook"/>
    <n v="2373.08"/>
    <n v="2373.08"/>
    <s v="Correct"/>
    <x v="11"/>
    <n v="2024"/>
    <s v="Q3"/>
    <s v="Chair"/>
  </r>
  <r>
    <s v="ORD200060"/>
    <d v="2024-08-21T00:00:00"/>
    <s v="C39256"/>
    <x v="6"/>
    <n v="1"/>
    <n v="417.1"/>
    <s v="634 Main St"/>
    <x v="0"/>
    <s v="Returned"/>
    <s v="TRK23412025"/>
    <n v="3"/>
    <s v="FREESHIP"/>
    <s v="Referral"/>
    <n v="417.1"/>
    <n v="417.1"/>
    <s v="Correct"/>
    <x v="1"/>
    <n v="2024"/>
    <s v="Q3"/>
    <s v="Desk"/>
  </r>
  <r>
    <s v="ORD200061"/>
    <d v="2024-03-24T00:00:00"/>
    <s v="C61618"/>
    <x v="6"/>
    <n v="4"/>
    <n v="122.2"/>
    <s v="104 Main St"/>
    <x v="4"/>
    <s v="Delivered"/>
    <s v="TRK43458485"/>
    <n v="7"/>
    <s v="FREESHIP"/>
    <s v="Facebook"/>
    <n v="488.8"/>
    <n v="488.8"/>
    <s v="Correct"/>
    <x v="9"/>
    <n v="2024"/>
    <s v="Q1"/>
    <s v="Desk"/>
  </r>
  <r>
    <s v="ORD200062"/>
    <d v="2023-08-22T00:00:00"/>
    <s v="C36497"/>
    <x v="6"/>
    <n v="2"/>
    <n v="43.15"/>
    <s v="691 Main St"/>
    <x v="0"/>
    <s v="Pending"/>
    <s v="TRK12102911"/>
    <n v="3"/>
    <s v="WINTER15"/>
    <s v="Email"/>
    <n v="86.3"/>
    <n v="86.3"/>
    <s v="Correct"/>
    <x v="1"/>
    <n v="2023"/>
    <s v="Q3"/>
    <s v="Desk"/>
  </r>
  <r>
    <s v="ORD200063"/>
    <d v="2025-02-02T00:00:00"/>
    <s v="C96695"/>
    <x v="3"/>
    <n v="1"/>
    <n v="564.86"/>
    <s v="813 Main St"/>
    <x v="0"/>
    <s v="Shipped"/>
    <s v="TRK64283851"/>
    <n v="6"/>
    <s v="WINTER15"/>
    <s v="Referral"/>
    <n v="564.86"/>
    <n v="564.86"/>
    <s v="Correct"/>
    <x v="2"/>
    <n v="2025"/>
    <s v="Q1"/>
    <s v="Chair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s v="Facebook"/>
    <n v="391.83"/>
    <n v="391.83000000000004"/>
    <s v="Correct"/>
    <x v="5"/>
    <n v="2025"/>
    <s v="Q2"/>
    <s v="Printer"/>
  </r>
  <r>
    <s v="ORD200065"/>
    <d v="2023-12-30T00:00:00"/>
    <s v="C97735"/>
    <x v="0"/>
    <n v="5"/>
    <n v="81.7"/>
    <s v="385 Main St"/>
    <x v="2"/>
    <s v="Delivered"/>
    <s v="TRK13743703"/>
    <n v="6"/>
    <s v="no coupoun"/>
    <s v="Instagram"/>
    <n v="408.5"/>
    <n v="408.5"/>
    <s v="Correct"/>
    <x v="8"/>
    <n v="2023"/>
    <s v="Q4"/>
    <s v="Monitor"/>
  </r>
  <r>
    <s v="ORD200066"/>
    <d v="2024-11-15T00:00:00"/>
    <s v="C18104"/>
    <x v="3"/>
    <n v="5"/>
    <n v="127.18"/>
    <s v="715 Main St"/>
    <x v="4"/>
    <s v="Cancelled"/>
    <s v="TRK15488568"/>
    <n v="9"/>
    <s v="SAVE10"/>
    <s v="Referral"/>
    <n v="635.90000000000009"/>
    <n v="635.90000000000009"/>
    <s v="Correct"/>
    <x v="7"/>
    <n v="2024"/>
    <s v="Q4"/>
    <s v="Chair"/>
  </r>
  <r>
    <s v="ORD200067"/>
    <d v="2024-12-09T00:00:00"/>
    <s v="C25587"/>
    <x v="4"/>
    <n v="4"/>
    <n v="12.1"/>
    <s v="440 Main St"/>
    <x v="0"/>
    <s v="Cancelled"/>
    <s v="TRK55105323"/>
    <n v="8"/>
    <s v="no coupoun"/>
    <s v="Google"/>
    <n v="48.4"/>
    <n v="48.4"/>
    <s v="Correct"/>
    <x v="8"/>
    <n v="2024"/>
    <s v="Q4"/>
    <s v="Printer"/>
  </r>
  <r>
    <s v="ORD200068"/>
    <d v="2023-12-11T00:00:00"/>
    <s v="C41598"/>
    <x v="3"/>
    <n v="3"/>
    <n v="490.92"/>
    <s v="709 Main St"/>
    <x v="2"/>
    <s v="Pending"/>
    <s v="TRK81665940"/>
    <n v="5"/>
    <s v="FREESHIP"/>
    <s v="Email"/>
    <n v="1472.76"/>
    <n v="1472.76"/>
    <s v="Correct"/>
    <x v="8"/>
    <n v="2023"/>
    <s v="Q4"/>
    <s v="Chair"/>
  </r>
  <r>
    <s v="ORD200069"/>
    <d v="2023-05-11T00:00:00"/>
    <s v="C43338"/>
    <x v="0"/>
    <n v="3"/>
    <n v="478.65"/>
    <s v="552 Main St"/>
    <x v="1"/>
    <s v="Shipped"/>
    <s v="TRK35241775"/>
    <n v="4"/>
    <s v="no coupoun"/>
    <s v="Referral"/>
    <n v="1435.95"/>
    <n v="1435.9499999999998"/>
    <s v="Correct"/>
    <x v="4"/>
    <n v="2023"/>
    <s v="Q2"/>
    <s v="Monitor"/>
  </r>
  <r>
    <s v="ORD200070"/>
    <d v="2023-05-26T00:00:00"/>
    <s v="C25123"/>
    <x v="6"/>
    <n v="1"/>
    <n v="629.21"/>
    <s v="384 Main St"/>
    <x v="3"/>
    <s v="Pending"/>
    <s v="TRK27812282"/>
    <n v="2"/>
    <s v="FREESHIP"/>
    <s v="Instagram"/>
    <n v="629.21"/>
    <n v="629.21"/>
    <s v="Correct"/>
    <x v="4"/>
    <n v="2023"/>
    <s v="Q2"/>
    <s v="Desk"/>
  </r>
  <r>
    <s v="ORD200071"/>
    <d v="2025-06-10T00:00:00"/>
    <s v="C37454"/>
    <x v="0"/>
    <n v="3"/>
    <n v="434.45"/>
    <s v="923 Main St"/>
    <x v="2"/>
    <s v="Pending"/>
    <s v="TRK28252730"/>
    <n v="4"/>
    <s v="no coupoun"/>
    <s v="Referral"/>
    <n v="1303.3499999999999"/>
    <n v="1303.3499999999999"/>
    <s v="Correct"/>
    <x v="5"/>
    <n v="2025"/>
    <s v="Q2"/>
    <s v="Monitor"/>
  </r>
  <r>
    <s v="ORD200072"/>
    <d v="2024-12-22T00:00:00"/>
    <s v="C19451"/>
    <x v="2"/>
    <n v="4"/>
    <n v="589.44000000000005"/>
    <s v="942 Main St"/>
    <x v="3"/>
    <s v="Returned"/>
    <s v="TRK87787793"/>
    <n v="5"/>
    <s v="no coupoun"/>
    <s v="Facebook"/>
    <n v="2357.7600000000002"/>
    <n v="2357.7600000000002"/>
    <s v="Correct"/>
    <x v="8"/>
    <n v="2024"/>
    <s v="Q4"/>
    <s v="Tablet"/>
  </r>
  <r>
    <s v="ORD200073"/>
    <d v="2023-05-03T00:00:00"/>
    <s v="C17269"/>
    <x v="0"/>
    <n v="4"/>
    <n v="433.45"/>
    <s v="129 Main St"/>
    <x v="3"/>
    <s v="Cancelled"/>
    <s v="TRK79608389"/>
    <n v="4"/>
    <s v="no coupoun"/>
    <s v="Facebook"/>
    <n v="1733.8"/>
    <n v="1733.8"/>
    <s v="Correct"/>
    <x v="4"/>
    <n v="2023"/>
    <s v="Q2"/>
    <s v="Monitor"/>
  </r>
  <r>
    <s v="ORD200074"/>
    <d v="2023-06-24T00:00:00"/>
    <s v="C25382"/>
    <x v="1"/>
    <n v="5"/>
    <n v="90.87"/>
    <s v="622 Main St"/>
    <x v="4"/>
    <s v="Pending"/>
    <s v="TRK64691287"/>
    <n v="5"/>
    <s v="no coupoun"/>
    <s v="Instagram"/>
    <n v="454.35"/>
    <n v="454.35"/>
    <s v="Correct"/>
    <x v="5"/>
    <n v="2023"/>
    <s v="Q2"/>
    <s v="Phone"/>
  </r>
  <r>
    <s v="ORD200075"/>
    <d v="2023-09-26T00:00:00"/>
    <s v="C80651"/>
    <x v="2"/>
    <n v="3"/>
    <n v="398.17"/>
    <s v="917 Main St"/>
    <x v="0"/>
    <s v="Delivered"/>
    <s v="TRK14846720"/>
    <n v="5"/>
    <s v="SAVE10"/>
    <s v="Email"/>
    <n v="1194.51"/>
    <n v="1194.51"/>
    <s v="Correct"/>
    <x v="11"/>
    <n v="2023"/>
    <s v="Q3"/>
    <s v="Tablet"/>
  </r>
  <r>
    <s v="ORD200076"/>
    <d v="2024-03-31T00:00:00"/>
    <s v="C58638"/>
    <x v="5"/>
    <n v="4"/>
    <n v="382.88"/>
    <s v="239 Main St"/>
    <x v="4"/>
    <s v="Cancelled"/>
    <s v="TRK38224871"/>
    <n v="6"/>
    <s v="WINTER15"/>
    <s v="Email"/>
    <n v="1531.52"/>
    <n v="1531.52"/>
    <s v="Correct"/>
    <x v="9"/>
    <n v="2024"/>
    <s v="Q1"/>
    <s v="Laptop"/>
  </r>
  <r>
    <s v="ORD200077"/>
    <d v="2024-05-24T00:00:00"/>
    <s v="C50121"/>
    <x v="1"/>
    <n v="1"/>
    <n v="583.17999999999995"/>
    <s v="348 Main St"/>
    <x v="2"/>
    <s v="Returned"/>
    <s v="TRK79810059"/>
    <n v="5"/>
    <s v="no coupoun"/>
    <s v="Google"/>
    <n v="583.17999999999995"/>
    <n v="583.17999999999995"/>
    <s v="Correct"/>
    <x v="4"/>
    <n v="2024"/>
    <s v="Q2"/>
    <s v="Phone"/>
  </r>
  <r>
    <s v="ORD200078"/>
    <d v="2024-08-06T00:00:00"/>
    <s v="C32029"/>
    <x v="4"/>
    <n v="4"/>
    <n v="175.36"/>
    <s v="146 Main St"/>
    <x v="0"/>
    <s v="Delivered"/>
    <s v="TRK68535532"/>
    <n v="4"/>
    <s v="FREESHIP"/>
    <s v="Instagram"/>
    <n v="701.44"/>
    <n v="701.44"/>
    <s v="Correct"/>
    <x v="1"/>
    <n v="2024"/>
    <s v="Q3"/>
    <s v="Printer"/>
  </r>
  <r>
    <s v="ORD200079"/>
    <d v="2025-03-10T00:00:00"/>
    <s v="C76700"/>
    <x v="2"/>
    <n v="2"/>
    <n v="311.91000000000003"/>
    <s v="103 Main St"/>
    <x v="1"/>
    <s v="Shipped"/>
    <s v="TRK13036341"/>
    <n v="2"/>
    <s v="no coupoun"/>
    <s v="Facebook"/>
    <n v="623.82000000000005"/>
    <n v="623.82000000000005"/>
    <s v="Correct"/>
    <x v="9"/>
    <n v="2025"/>
    <s v="Q1"/>
    <s v="Tablet"/>
  </r>
  <r>
    <s v="ORD200080"/>
    <d v="2023-06-27T00:00:00"/>
    <s v="C29041"/>
    <x v="1"/>
    <n v="3"/>
    <n v="589.55999999999995"/>
    <s v="591 Main St"/>
    <x v="1"/>
    <s v="Returned"/>
    <s v="TRK28840655"/>
    <n v="6"/>
    <s v="no coupoun"/>
    <s v="Facebook"/>
    <n v="1768.68"/>
    <n v="1768.6799999999998"/>
    <s v="Correct"/>
    <x v="5"/>
    <n v="2023"/>
    <s v="Q2"/>
    <s v="Phone"/>
  </r>
  <r>
    <s v="ORD200081"/>
    <d v="2023-06-08T00:00:00"/>
    <s v="C29314"/>
    <x v="0"/>
    <n v="2"/>
    <n v="394.3"/>
    <s v="496 Main St"/>
    <x v="4"/>
    <s v="Shipped"/>
    <s v="TRK59876213"/>
    <n v="6"/>
    <s v="FREESHIP"/>
    <s v="Email"/>
    <n v="788.6"/>
    <n v="788.6"/>
    <s v="Correct"/>
    <x v="5"/>
    <n v="2023"/>
    <s v="Q2"/>
    <s v="Monitor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s v="Google"/>
    <n v="2260.8000000000002"/>
    <n v="2260.8000000000002"/>
    <s v="Correct"/>
    <x v="0"/>
    <n v="2024"/>
    <s v="Q1"/>
    <s v="Tablet"/>
  </r>
  <r>
    <s v="ORD200083"/>
    <d v="2023-08-22T00:00:00"/>
    <s v="C15681"/>
    <x v="5"/>
    <n v="4"/>
    <n v="540.41"/>
    <s v="989 Main St"/>
    <x v="2"/>
    <s v="Cancelled"/>
    <s v="TRK75112172"/>
    <n v="6"/>
    <s v="no coupoun"/>
    <s v="Referral"/>
    <n v="2161.64"/>
    <n v="2161.64"/>
    <s v="Correct"/>
    <x v="1"/>
    <n v="2023"/>
    <s v="Q3"/>
    <s v="Laptop"/>
  </r>
  <r>
    <s v="ORD200084"/>
    <d v="2023-08-28T00:00:00"/>
    <s v="C64160"/>
    <x v="0"/>
    <n v="2"/>
    <n v="165.49"/>
    <s v="967 Main St"/>
    <x v="1"/>
    <s v="Shipped"/>
    <s v="TRK34121529"/>
    <n v="4"/>
    <s v="WINTER15"/>
    <s v="Instagram"/>
    <n v="330.98"/>
    <n v="330.98"/>
    <s v="Correct"/>
    <x v="1"/>
    <n v="2023"/>
    <s v="Q3"/>
    <s v="Monitor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s v="Email"/>
    <n v="440.18999999999988"/>
    <n v="440.18999999999994"/>
    <s v="Correct"/>
    <x v="11"/>
    <n v="2024"/>
    <s v="Q3"/>
    <s v="Tablet"/>
  </r>
  <r>
    <s v="ORD200086"/>
    <d v="2024-06-19T00:00:00"/>
    <s v="C88205"/>
    <x v="4"/>
    <n v="5"/>
    <n v="643.03"/>
    <s v="447 Main St"/>
    <x v="1"/>
    <s v="Cancelled"/>
    <s v="TRK93504166"/>
    <n v="5"/>
    <s v="FREESHIP"/>
    <s v="Referral"/>
    <n v="3215.15"/>
    <n v="3215.1499999999996"/>
    <s v="Correct"/>
    <x v="5"/>
    <n v="2024"/>
    <s v="Q2"/>
    <s v="Printer"/>
  </r>
  <r>
    <s v="ORD200087"/>
    <d v="2024-10-10T00:00:00"/>
    <s v="C91245"/>
    <x v="2"/>
    <n v="3"/>
    <n v="225.11"/>
    <s v="915 Main St"/>
    <x v="4"/>
    <s v="Shipped"/>
    <s v="TRK46976391"/>
    <n v="4"/>
    <s v="SAVE10"/>
    <s v="Facebook"/>
    <n v="675.33"/>
    <n v="675.33"/>
    <s v="Correct"/>
    <x v="3"/>
    <n v="2024"/>
    <s v="Q4"/>
    <s v="Tablet"/>
  </r>
  <r>
    <s v="ORD200088"/>
    <d v="2025-06-05T00:00:00"/>
    <s v="C75439"/>
    <x v="6"/>
    <n v="3"/>
    <n v="114.81"/>
    <s v="318 Main St"/>
    <x v="3"/>
    <s v="Cancelled"/>
    <s v="TRK19831653"/>
    <n v="7"/>
    <s v="no coupoun"/>
    <s v="Google"/>
    <n v="344.43"/>
    <n v="344.43"/>
    <s v="Correct"/>
    <x v="5"/>
    <n v="2025"/>
    <s v="Q2"/>
    <s v="Desk"/>
  </r>
  <r>
    <s v="ORD200089"/>
    <d v="2025-02-25T00:00:00"/>
    <s v="C17181"/>
    <x v="4"/>
    <n v="5"/>
    <n v="455.33"/>
    <s v="291 Main St"/>
    <x v="2"/>
    <s v="Cancelled"/>
    <s v="TRK78912978"/>
    <n v="8"/>
    <s v="FREESHIP"/>
    <s v="Google"/>
    <n v="2276.65"/>
    <n v="2276.65"/>
    <s v="Correct"/>
    <x v="2"/>
    <n v="2025"/>
    <s v="Q1"/>
    <s v="Printer"/>
  </r>
  <r>
    <s v="ORD200090"/>
    <d v="2023-09-18T00:00:00"/>
    <s v="C36540"/>
    <x v="3"/>
    <n v="4"/>
    <n v="182.08"/>
    <s v="611 Main St"/>
    <x v="3"/>
    <s v="Delivered"/>
    <s v="TRK35828122"/>
    <n v="4"/>
    <s v="SAVE10"/>
    <s v="Email"/>
    <n v="728.32"/>
    <n v="728.32"/>
    <s v="Correct"/>
    <x v="11"/>
    <n v="2023"/>
    <s v="Q3"/>
    <s v="Chair"/>
  </r>
  <r>
    <s v="ORD200091"/>
    <d v="2023-03-15T00:00:00"/>
    <s v="C98216"/>
    <x v="5"/>
    <n v="5"/>
    <n v="492.75"/>
    <s v="196 Main St"/>
    <x v="4"/>
    <s v="Shipped"/>
    <s v="TRK40986666"/>
    <n v="6"/>
    <s v="WINTER15"/>
    <s v="Referral"/>
    <n v="2463.75"/>
    <n v="2463.75"/>
    <s v="Correct"/>
    <x v="9"/>
    <n v="2023"/>
    <s v="Q1"/>
    <s v="Laptop"/>
  </r>
  <r>
    <s v="ORD200092"/>
    <d v="2024-06-10T00:00:00"/>
    <s v="C29568"/>
    <x v="4"/>
    <n v="4"/>
    <n v="48.61"/>
    <s v="203 Main St"/>
    <x v="1"/>
    <s v="Shipped"/>
    <s v="TRK46531075"/>
    <n v="7"/>
    <s v="FREESHIP"/>
    <s v="Facebook"/>
    <n v="194.44"/>
    <n v="194.44"/>
    <s v="Correct"/>
    <x v="5"/>
    <n v="2024"/>
    <s v="Q2"/>
    <s v="Printer"/>
  </r>
  <r>
    <s v="ORD200093"/>
    <d v="2023-01-14T00:00:00"/>
    <s v="C97262"/>
    <x v="6"/>
    <n v="4"/>
    <n v="431.01"/>
    <s v="837 Main St"/>
    <x v="2"/>
    <s v="Returned"/>
    <s v="TRK65990229"/>
    <n v="7"/>
    <s v="no coupoun"/>
    <s v="Referral"/>
    <n v="1724.04"/>
    <n v="1724.04"/>
    <s v="Correct"/>
    <x v="0"/>
    <n v="2023"/>
    <s v="Q1"/>
    <s v="Desk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s v="Instagram"/>
    <n v="531.17999999999995"/>
    <n v="531.17999999999995"/>
    <s v="Correct"/>
    <x v="2"/>
    <n v="2023"/>
    <s v="Q1"/>
    <s v="Chair"/>
  </r>
  <r>
    <s v="ORD200095"/>
    <d v="2023-03-24T00:00:00"/>
    <s v="C76761"/>
    <x v="4"/>
    <n v="4"/>
    <n v="117.51"/>
    <s v="839 Main St"/>
    <x v="0"/>
    <s v="Returned"/>
    <s v="TRK60179774"/>
    <n v="7"/>
    <s v="no coupoun"/>
    <s v="Referral"/>
    <n v="470.04"/>
    <n v="470.04"/>
    <s v="Correct"/>
    <x v="9"/>
    <n v="2023"/>
    <s v="Q1"/>
    <s v="Printer"/>
  </r>
  <r>
    <s v="ORD200096"/>
    <d v="2024-06-01T00:00:00"/>
    <s v="C93007"/>
    <x v="1"/>
    <n v="2"/>
    <n v="232.83"/>
    <s v="103 Main St"/>
    <x v="3"/>
    <s v="Delivered"/>
    <s v="TRK85696091"/>
    <n v="7"/>
    <s v="no coupoun"/>
    <s v="Instagram"/>
    <n v="465.66"/>
    <n v="465.66"/>
    <s v="Correct"/>
    <x v="5"/>
    <n v="2024"/>
    <s v="Q2"/>
    <s v="Phone"/>
  </r>
  <r>
    <s v="ORD200097"/>
    <d v="2025-01-21T00:00:00"/>
    <s v="C15624"/>
    <x v="2"/>
    <n v="5"/>
    <n v="619.52"/>
    <s v="922 Main St"/>
    <x v="0"/>
    <s v="Pending"/>
    <s v="TRK40621141"/>
    <n v="9"/>
    <s v="no coupoun"/>
    <s v="Email"/>
    <n v="3097.6"/>
    <n v="3097.6"/>
    <s v="Correct"/>
    <x v="0"/>
    <n v="2025"/>
    <s v="Q1"/>
    <s v="Tablet"/>
  </r>
  <r>
    <s v="ORD200098"/>
    <d v="2023-01-14T00:00:00"/>
    <s v="C70921"/>
    <x v="4"/>
    <n v="2"/>
    <n v="228.54"/>
    <s v="533 Main St"/>
    <x v="0"/>
    <s v="Pending"/>
    <s v="TRK54983109"/>
    <n v="3"/>
    <s v="no coupoun"/>
    <s v="Email"/>
    <n v="457.08"/>
    <n v="457.08"/>
    <s v="Correct"/>
    <x v="0"/>
    <n v="2023"/>
    <s v="Q1"/>
    <s v="Printer"/>
  </r>
  <r>
    <s v="ORD200099"/>
    <d v="2025-04-12T00:00:00"/>
    <s v="C30477"/>
    <x v="4"/>
    <n v="1"/>
    <n v="201.58"/>
    <s v="717 Main St"/>
    <x v="0"/>
    <s v="Cancelled"/>
    <s v="TRK51829648"/>
    <n v="2"/>
    <s v="WINTER15"/>
    <s v="Email"/>
    <n v="201.58"/>
    <n v="201.58"/>
    <s v="Correct"/>
    <x v="6"/>
    <n v="2025"/>
    <s v="Q2"/>
    <s v="Printer"/>
  </r>
  <r>
    <s v="ORD200100"/>
    <d v="2023-02-17T00:00:00"/>
    <s v="C74866"/>
    <x v="1"/>
    <n v="3"/>
    <n v="664.79"/>
    <s v="743 Main St"/>
    <x v="1"/>
    <s v="Delivered"/>
    <s v="TRK53783265"/>
    <n v="6"/>
    <s v="no coupoun"/>
    <s v="Facebook"/>
    <n v="1994.37"/>
    <n v="1994.37"/>
    <s v="Correct"/>
    <x v="2"/>
    <n v="2023"/>
    <s v="Q1"/>
    <s v="Phone"/>
  </r>
  <r>
    <s v="ORD200101"/>
    <d v="2023-11-25T00:00:00"/>
    <s v="C15283"/>
    <x v="4"/>
    <n v="1"/>
    <n v="381.02"/>
    <s v="152 Main St"/>
    <x v="4"/>
    <s v="Shipped"/>
    <s v="TRK19286291"/>
    <n v="6"/>
    <s v="no coupoun"/>
    <s v="Google"/>
    <n v="381.02"/>
    <n v="381.02"/>
    <s v="Correct"/>
    <x v="7"/>
    <n v="2023"/>
    <s v="Q4"/>
    <s v="Printer"/>
  </r>
  <r>
    <s v="ORD200102"/>
    <d v="2023-03-08T00:00:00"/>
    <s v="C18037"/>
    <x v="5"/>
    <n v="2"/>
    <n v="70.34"/>
    <s v="944 Main St"/>
    <x v="3"/>
    <s v="Cancelled"/>
    <s v="TRK47362236"/>
    <n v="3"/>
    <s v="FREESHIP"/>
    <s v="Email"/>
    <n v="140.68"/>
    <n v="140.68"/>
    <s v="Correct"/>
    <x v="9"/>
    <n v="2023"/>
    <s v="Q1"/>
    <s v="Laptop"/>
  </r>
  <r>
    <s v="ORD200103"/>
    <d v="2025-01-25T00:00:00"/>
    <s v="C62656"/>
    <x v="1"/>
    <n v="4"/>
    <n v="218.43"/>
    <s v="514 Main St"/>
    <x v="2"/>
    <s v="Cancelled"/>
    <s v="TRK86296459"/>
    <n v="9"/>
    <s v="SAVE10"/>
    <s v="Email"/>
    <n v="873.72"/>
    <n v="873.72"/>
    <s v="Correct"/>
    <x v="0"/>
    <n v="2025"/>
    <s v="Q1"/>
    <s v="Phone"/>
  </r>
  <r>
    <s v="ORD200104"/>
    <d v="2024-07-30T00:00:00"/>
    <s v="C65744"/>
    <x v="1"/>
    <n v="1"/>
    <n v="582.04"/>
    <s v="647 Main St"/>
    <x v="3"/>
    <s v="Delivered"/>
    <s v="TRK39906058"/>
    <n v="1"/>
    <s v="FREESHIP"/>
    <s v="Email"/>
    <n v="582.04"/>
    <n v="582.04"/>
    <s v="Correct"/>
    <x v="10"/>
    <n v="2024"/>
    <s v="Q3"/>
    <s v="Phone"/>
  </r>
  <r>
    <s v="ORD200105"/>
    <d v="2024-10-24T00:00:00"/>
    <s v="C72290"/>
    <x v="4"/>
    <n v="3"/>
    <n v="185.4"/>
    <s v="810 Main St"/>
    <x v="3"/>
    <s v="Cancelled"/>
    <s v="TRK68792129"/>
    <n v="7"/>
    <s v="no coupoun"/>
    <s v="Facebook"/>
    <n v="556.20000000000005"/>
    <n v="556.20000000000005"/>
    <s v="Correct"/>
    <x v="3"/>
    <n v="2024"/>
    <s v="Q4"/>
    <s v="Printer"/>
  </r>
  <r>
    <s v="ORD200106"/>
    <d v="2023-09-08T00:00:00"/>
    <s v="C73514"/>
    <x v="6"/>
    <n v="3"/>
    <n v="465.05"/>
    <s v="126 Main St"/>
    <x v="2"/>
    <s v="Cancelled"/>
    <s v="TRK96777924"/>
    <n v="3"/>
    <s v="SAVE10"/>
    <s v="Email"/>
    <n v="1395.15"/>
    <n v="1395.15"/>
    <s v="Correct"/>
    <x v="11"/>
    <n v="2023"/>
    <s v="Q3"/>
    <s v="Desk"/>
  </r>
  <r>
    <s v="ORD200107"/>
    <d v="2023-03-27T00:00:00"/>
    <s v="C16775"/>
    <x v="4"/>
    <n v="5"/>
    <n v="670.75"/>
    <s v="848 Main St"/>
    <x v="3"/>
    <s v="Shipped"/>
    <s v="TRK34392124"/>
    <n v="8"/>
    <s v="FREESHIP"/>
    <s v="Instagram"/>
    <n v="3353.75"/>
    <n v="3353.75"/>
    <s v="Correct"/>
    <x v="9"/>
    <n v="2023"/>
    <s v="Q1"/>
    <s v="Printer"/>
  </r>
  <r>
    <s v="ORD200108"/>
    <d v="2024-12-28T00:00:00"/>
    <s v="C33099"/>
    <x v="5"/>
    <n v="5"/>
    <n v="48.38"/>
    <s v="522 Main St"/>
    <x v="3"/>
    <s v="Delivered"/>
    <s v="TRK28522330"/>
    <n v="9"/>
    <s v="WINTER15"/>
    <s v="Email"/>
    <n v="241.9"/>
    <n v="241.9"/>
    <s v="Correct"/>
    <x v="8"/>
    <n v="2024"/>
    <s v="Q4"/>
    <s v="Laptop"/>
  </r>
  <r>
    <s v="ORD200109"/>
    <d v="2023-09-17T00:00:00"/>
    <s v="C51157"/>
    <x v="6"/>
    <n v="3"/>
    <n v="592.87"/>
    <s v="131 Main St"/>
    <x v="3"/>
    <s v="Shipped"/>
    <s v="TRK18674578"/>
    <n v="3"/>
    <s v="FREESHIP"/>
    <s v="Referral"/>
    <n v="1778.61"/>
    <n v="1778.6100000000001"/>
    <s v="Correct"/>
    <x v="11"/>
    <n v="2023"/>
    <s v="Q3"/>
    <s v="Desk"/>
  </r>
  <r>
    <s v="ORD200110"/>
    <d v="2024-04-21T00:00:00"/>
    <s v="C74562"/>
    <x v="2"/>
    <n v="1"/>
    <n v="220.77"/>
    <s v="388 Main St"/>
    <x v="3"/>
    <s v="Pending"/>
    <s v="TRK32062079"/>
    <n v="5"/>
    <s v="FREESHIP"/>
    <s v="Instagram"/>
    <n v="220.77"/>
    <n v="220.77"/>
    <s v="Correct"/>
    <x v="6"/>
    <n v="2024"/>
    <s v="Q2"/>
    <s v="Tablet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s v="Google"/>
    <n v="927.66000000000008"/>
    <n v="927.66000000000008"/>
    <s v="Correct"/>
    <x v="4"/>
    <n v="2025"/>
    <s v="Q2"/>
    <s v="Desk"/>
  </r>
  <r>
    <s v="ORD200112"/>
    <d v="2023-01-01T00:00:00"/>
    <s v="C81366"/>
    <x v="0"/>
    <n v="1"/>
    <n v="410.6"/>
    <s v="423 Main St"/>
    <x v="1"/>
    <s v="Cancelled"/>
    <s v="TRK17062206"/>
    <n v="2"/>
    <s v="WINTER15"/>
    <s v="Referral"/>
    <n v="410.6"/>
    <n v="410.6"/>
    <s v="Correct"/>
    <x v="0"/>
    <n v="2023"/>
    <s v="Q1"/>
    <s v="Monitor"/>
  </r>
  <r>
    <s v="ORD200113"/>
    <d v="2024-01-17T00:00:00"/>
    <s v="C65905"/>
    <x v="5"/>
    <n v="5"/>
    <n v="190.08"/>
    <s v="605 Main St"/>
    <x v="4"/>
    <s v="Shipped"/>
    <s v="TRK73954365"/>
    <n v="9"/>
    <s v="FREESHIP"/>
    <s v="Instagram"/>
    <n v="950.40000000000009"/>
    <n v="950.40000000000009"/>
    <s v="Correct"/>
    <x v="0"/>
    <n v="2024"/>
    <s v="Q1"/>
    <s v="Laptop"/>
  </r>
  <r>
    <s v="ORD200114"/>
    <d v="2025-01-27T00:00:00"/>
    <s v="C77272"/>
    <x v="0"/>
    <n v="5"/>
    <n v="498.48"/>
    <s v="115 Main St"/>
    <x v="1"/>
    <s v="Pending"/>
    <s v="TRK29708128"/>
    <n v="8"/>
    <s v="SAVE10"/>
    <s v="Google"/>
    <n v="2492.4"/>
    <n v="2492.4"/>
    <s v="Correct"/>
    <x v="0"/>
    <n v="2025"/>
    <s v="Q1"/>
    <s v="Monitor"/>
  </r>
  <r>
    <s v="ORD200115"/>
    <d v="2023-11-27T00:00:00"/>
    <s v="C32580"/>
    <x v="1"/>
    <n v="5"/>
    <n v="374.99"/>
    <s v="122 Main St"/>
    <x v="1"/>
    <s v="Shipped"/>
    <s v="TRK23670394"/>
    <n v="9"/>
    <s v="SAVE10"/>
    <s v="Facebook"/>
    <n v="1874.95"/>
    <n v="1874.95"/>
    <s v="Correct"/>
    <x v="7"/>
    <n v="2023"/>
    <s v="Q4"/>
    <s v="Phone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s v="Facebook"/>
    <n v="1165.4000000000001"/>
    <n v="1165.4000000000001"/>
    <s v="Correct"/>
    <x v="9"/>
    <n v="2023"/>
    <s v="Q1"/>
    <s v="Printer"/>
  </r>
  <r>
    <s v="ORD200117"/>
    <d v="2023-03-08T00:00:00"/>
    <s v="C49187"/>
    <x v="2"/>
    <n v="1"/>
    <n v="535.5"/>
    <s v="593 Main St"/>
    <x v="3"/>
    <s v="Cancelled"/>
    <s v="TRK81888598"/>
    <n v="5"/>
    <s v="WINTER15"/>
    <s v="Referral"/>
    <n v="535.5"/>
    <n v="535.5"/>
    <s v="Correct"/>
    <x v="9"/>
    <n v="2023"/>
    <s v="Q1"/>
    <s v="Tablet"/>
  </r>
  <r>
    <s v="ORD200118"/>
    <d v="2023-10-09T00:00:00"/>
    <s v="C27898"/>
    <x v="4"/>
    <n v="5"/>
    <n v="502.71"/>
    <s v="807 Main St"/>
    <x v="3"/>
    <s v="Shipped"/>
    <s v="TRK61957665"/>
    <n v="7"/>
    <s v="FREESHIP"/>
    <s v="Google"/>
    <n v="2513.5500000000002"/>
    <n v="2513.5499999999997"/>
    <s v="Correct"/>
    <x v="3"/>
    <n v="2023"/>
    <s v="Q4"/>
    <s v="Printer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s v="Referral"/>
    <n v="1069.3399999999999"/>
    <n v="1069.3399999999999"/>
    <s v="Correct"/>
    <x v="5"/>
    <n v="2025"/>
    <s v="Q2"/>
    <s v="Desk"/>
  </r>
  <r>
    <s v="ORD200120"/>
    <d v="2023-04-11T00:00:00"/>
    <s v="C58108"/>
    <x v="2"/>
    <n v="4"/>
    <n v="629.34"/>
    <s v="986 Main St"/>
    <x v="4"/>
    <s v="Cancelled"/>
    <s v="TRK66218053"/>
    <n v="4"/>
    <s v="WINTER15"/>
    <s v="Instagram"/>
    <n v="2517.36"/>
    <n v="2517.36"/>
    <s v="Correct"/>
    <x v="6"/>
    <n v="2023"/>
    <s v="Q2"/>
    <s v="Tablet"/>
  </r>
  <r>
    <s v="ORD200121"/>
    <d v="2023-11-30T00:00:00"/>
    <s v="C89822"/>
    <x v="6"/>
    <n v="1"/>
    <n v="410.78"/>
    <s v="673 Main St"/>
    <x v="4"/>
    <s v="Cancelled"/>
    <s v="TRK24138598"/>
    <n v="1"/>
    <s v="FREESHIP"/>
    <s v="Instagram"/>
    <n v="410.78"/>
    <n v="410.78"/>
    <s v="Correct"/>
    <x v="7"/>
    <n v="2023"/>
    <s v="Q4"/>
    <s v="Desk"/>
  </r>
  <r>
    <s v="ORD200122"/>
    <d v="2024-04-15T00:00:00"/>
    <s v="C96787"/>
    <x v="5"/>
    <n v="2"/>
    <n v="533.02"/>
    <s v="588 Main St"/>
    <x v="3"/>
    <s v="Shipped"/>
    <s v="TRK30422853"/>
    <n v="2"/>
    <s v="no coupoun"/>
    <s v="Facebook"/>
    <n v="1066.04"/>
    <n v="1066.04"/>
    <s v="Correct"/>
    <x v="6"/>
    <n v="2024"/>
    <s v="Q2"/>
    <s v="Laptop"/>
  </r>
  <r>
    <s v="ORD200123"/>
    <d v="2023-07-06T00:00:00"/>
    <s v="C86064"/>
    <x v="6"/>
    <n v="3"/>
    <n v="278.04000000000002"/>
    <s v="727 Main St"/>
    <x v="1"/>
    <s v="Delivered"/>
    <s v="TRK62182901"/>
    <n v="5"/>
    <s v="no coupoun"/>
    <s v="Instagram"/>
    <n v="834.12000000000012"/>
    <n v="834.12000000000012"/>
    <s v="Correct"/>
    <x v="10"/>
    <n v="2023"/>
    <s v="Q3"/>
    <s v="Desk"/>
  </r>
  <r>
    <s v="ORD200124"/>
    <d v="2024-07-28T00:00:00"/>
    <s v="C97148"/>
    <x v="4"/>
    <n v="4"/>
    <n v="283.79000000000002"/>
    <s v="563 Main St"/>
    <x v="1"/>
    <s v="Pending"/>
    <s v="TRK85321126"/>
    <n v="8"/>
    <s v="no coupoun"/>
    <s v="Google"/>
    <n v="1135.1600000000001"/>
    <n v="1135.1600000000001"/>
    <s v="Correct"/>
    <x v="10"/>
    <n v="2024"/>
    <s v="Q3"/>
    <s v="Printer"/>
  </r>
  <r>
    <s v="ORD200125"/>
    <d v="2024-11-06T00:00:00"/>
    <s v="C91099"/>
    <x v="1"/>
    <n v="2"/>
    <n v="512.65"/>
    <s v="758 Main St"/>
    <x v="2"/>
    <s v="Shipped"/>
    <s v="TRK81846174"/>
    <n v="5"/>
    <s v="SAVE10"/>
    <s v="Email"/>
    <n v="1025.3"/>
    <n v="1025.3"/>
    <s v="Correct"/>
    <x v="7"/>
    <n v="2024"/>
    <s v="Q4"/>
    <s v="Phone"/>
  </r>
  <r>
    <s v="ORD200126"/>
    <d v="2025-05-03T00:00:00"/>
    <s v="C55606"/>
    <x v="6"/>
    <n v="4"/>
    <n v="275.5"/>
    <s v="353 Main St"/>
    <x v="3"/>
    <s v="Shipped"/>
    <s v="TRK68250319"/>
    <n v="8"/>
    <s v="FREESHIP"/>
    <s v="Google"/>
    <n v="1102"/>
    <n v="1102"/>
    <s v="Correct"/>
    <x v="4"/>
    <n v="2025"/>
    <s v="Q2"/>
    <s v="Desk"/>
  </r>
  <r>
    <s v="ORD200127"/>
    <d v="2023-08-10T00:00:00"/>
    <s v="C71486"/>
    <x v="6"/>
    <n v="3"/>
    <n v="469.32"/>
    <s v="365 Main St"/>
    <x v="0"/>
    <s v="Shipped"/>
    <s v="TRK73929833"/>
    <n v="3"/>
    <s v="no coupoun"/>
    <s v="Google"/>
    <n v="1407.96"/>
    <n v="1407.96"/>
    <s v="Correct"/>
    <x v="1"/>
    <n v="2023"/>
    <s v="Q3"/>
    <s v="Desk"/>
  </r>
  <r>
    <s v="ORD200128"/>
    <d v="2023-02-17T00:00:00"/>
    <s v="C86408"/>
    <x v="2"/>
    <n v="4"/>
    <n v="21.07"/>
    <s v="244 Main St"/>
    <x v="3"/>
    <s v="Delivered"/>
    <s v="TRK41432648"/>
    <n v="4"/>
    <s v="FREESHIP"/>
    <s v="Google"/>
    <n v="84.28"/>
    <n v="84.28"/>
    <s v="Correct"/>
    <x v="2"/>
    <n v="2023"/>
    <s v="Q1"/>
    <s v="Tablet"/>
  </r>
  <r>
    <s v="ORD200129"/>
    <d v="2023-10-27T00:00:00"/>
    <s v="C52751"/>
    <x v="5"/>
    <n v="4"/>
    <n v="263.93"/>
    <s v="427 Main St"/>
    <x v="0"/>
    <s v="Shipped"/>
    <s v="TRK72481234"/>
    <n v="4"/>
    <s v="FREESHIP"/>
    <s v="Facebook"/>
    <n v="1055.72"/>
    <n v="1055.72"/>
    <s v="Correct"/>
    <x v="3"/>
    <n v="2023"/>
    <s v="Q4"/>
    <s v="Laptop"/>
  </r>
  <r>
    <s v="ORD200130"/>
    <d v="2025-01-22T00:00:00"/>
    <s v="C29059"/>
    <x v="6"/>
    <n v="3"/>
    <n v="501.3"/>
    <s v="513 Main St"/>
    <x v="1"/>
    <s v="Cancelled"/>
    <s v="TRK88360704"/>
    <n v="3"/>
    <s v="WINTER15"/>
    <s v="Facebook"/>
    <n v="1503.9"/>
    <n v="1503.9"/>
    <s v="Correct"/>
    <x v="0"/>
    <n v="2025"/>
    <s v="Q1"/>
    <s v="Desk"/>
  </r>
  <r>
    <s v="ORD200131"/>
    <d v="2023-01-08T00:00:00"/>
    <s v="C72862"/>
    <x v="2"/>
    <n v="1"/>
    <n v="84.8"/>
    <s v="606 Main St"/>
    <x v="3"/>
    <s v="Pending"/>
    <s v="TRK51648833"/>
    <n v="5"/>
    <s v="no coupoun"/>
    <s v="Instagram"/>
    <n v="84.8"/>
    <n v="84.8"/>
    <s v="Correct"/>
    <x v="0"/>
    <n v="2023"/>
    <s v="Q1"/>
    <s v="Tablet"/>
  </r>
  <r>
    <s v="ORD200132"/>
    <d v="2023-03-28T00:00:00"/>
    <s v="C96257"/>
    <x v="2"/>
    <n v="4"/>
    <n v="450.75"/>
    <s v="583 Main St"/>
    <x v="2"/>
    <s v="Shipped"/>
    <s v="TRK13137948"/>
    <n v="6"/>
    <s v="WINTER15"/>
    <s v="Email"/>
    <n v="1803"/>
    <n v="1803"/>
    <s v="Correct"/>
    <x v="9"/>
    <n v="2023"/>
    <s v="Q1"/>
    <s v="Tablet"/>
  </r>
  <r>
    <s v="ORD200133"/>
    <d v="2025-06-20T00:00:00"/>
    <s v="C87432"/>
    <x v="3"/>
    <n v="4"/>
    <n v="302.05"/>
    <s v="636 Main St"/>
    <x v="0"/>
    <s v="Cancelled"/>
    <s v="TRK68969625"/>
    <n v="6"/>
    <s v="SAVE10"/>
    <s v="Google"/>
    <n v="1208.2"/>
    <n v="1208.2"/>
    <s v="Correct"/>
    <x v="5"/>
    <n v="2025"/>
    <s v="Q2"/>
    <s v="Chair"/>
  </r>
  <r>
    <s v="ORD200134"/>
    <d v="2025-06-23T00:00:00"/>
    <s v="C16253"/>
    <x v="5"/>
    <n v="2"/>
    <n v="199.7"/>
    <s v="583 Main St"/>
    <x v="4"/>
    <s v="Pending"/>
    <s v="TRK17354894"/>
    <n v="4"/>
    <s v="no coupoun"/>
    <s v="Email"/>
    <n v="399.4"/>
    <n v="399.4"/>
    <s v="Correct"/>
    <x v="5"/>
    <n v="2025"/>
    <s v="Q2"/>
    <s v="Laptop"/>
  </r>
  <r>
    <s v="ORD200135"/>
    <d v="2023-08-04T00:00:00"/>
    <s v="C79909"/>
    <x v="4"/>
    <n v="2"/>
    <n v="68.81"/>
    <s v="642 Main St"/>
    <x v="3"/>
    <s v="Shipped"/>
    <s v="TRK86742257"/>
    <n v="5"/>
    <s v="no coupoun"/>
    <s v="Referral"/>
    <n v="137.62"/>
    <n v="137.62"/>
    <s v="Correct"/>
    <x v="1"/>
    <n v="2023"/>
    <s v="Q3"/>
    <s v="Printer"/>
  </r>
  <r>
    <s v="ORD200136"/>
    <d v="2024-04-27T00:00:00"/>
    <s v="C73370"/>
    <x v="5"/>
    <n v="1"/>
    <n v="44.35"/>
    <s v="595 Main St"/>
    <x v="3"/>
    <s v="Cancelled"/>
    <s v="TRK67820278"/>
    <n v="1"/>
    <s v="SAVE10"/>
    <s v="Instagram"/>
    <n v="44.35"/>
    <n v="44.35"/>
    <s v="Correct"/>
    <x v="6"/>
    <n v="2024"/>
    <s v="Q2"/>
    <s v="Laptop"/>
  </r>
  <r>
    <s v="ORD200137"/>
    <d v="2024-11-26T00:00:00"/>
    <s v="C50682"/>
    <x v="0"/>
    <n v="2"/>
    <n v="250.98"/>
    <s v="598 Main St"/>
    <x v="2"/>
    <s v="Delivered"/>
    <s v="TRK12242337"/>
    <n v="5"/>
    <s v="no coupoun"/>
    <s v="Google"/>
    <n v="501.96"/>
    <n v="501.96"/>
    <s v="Correct"/>
    <x v="7"/>
    <n v="2024"/>
    <s v="Q4"/>
    <s v="Monitor"/>
  </r>
  <r>
    <s v="ORD200138"/>
    <d v="2023-12-21T00:00:00"/>
    <s v="C21905"/>
    <x v="2"/>
    <n v="1"/>
    <n v="298.06"/>
    <s v="478 Main St"/>
    <x v="0"/>
    <s v="Pending"/>
    <s v="TRK31863841"/>
    <n v="3"/>
    <s v="WINTER15"/>
    <s v="Google"/>
    <n v="298.06"/>
    <n v="298.06"/>
    <s v="Correct"/>
    <x v="8"/>
    <n v="2023"/>
    <s v="Q4"/>
    <s v="Tablet"/>
  </r>
  <r>
    <s v="ORD200139"/>
    <d v="2023-04-10T00:00:00"/>
    <s v="C61440"/>
    <x v="1"/>
    <n v="1"/>
    <n v="583.9"/>
    <s v="714 Main St"/>
    <x v="4"/>
    <s v="Returned"/>
    <s v="TRK33114521"/>
    <n v="1"/>
    <s v="no coupoun"/>
    <s v="Email"/>
    <n v="583.9"/>
    <n v="583.9"/>
    <s v="Correct"/>
    <x v="6"/>
    <n v="2023"/>
    <s v="Q2"/>
    <s v="Phone"/>
  </r>
  <r>
    <s v="ORD200140"/>
    <d v="2025-05-31T00:00:00"/>
    <s v="C33110"/>
    <x v="3"/>
    <n v="3"/>
    <n v="528.14"/>
    <s v="388 Main St"/>
    <x v="1"/>
    <s v="Delivered"/>
    <s v="TRK38624225"/>
    <n v="3"/>
    <s v="FREESHIP"/>
    <s v="Email"/>
    <n v="1584.42"/>
    <n v="1584.42"/>
    <s v="Correct"/>
    <x v="4"/>
    <n v="2025"/>
    <s v="Q2"/>
    <s v="Chair"/>
  </r>
  <r>
    <s v="ORD200141"/>
    <d v="2023-11-18T00:00:00"/>
    <s v="C80004"/>
    <x v="4"/>
    <n v="3"/>
    <n v="684.14"/>
    <s v="151 Main St"/>
    <x v="4"/>
    <s v="Cancelled"/>
    <s v="TRK66230753"/>
    <n v="3"/>
    <s v="WINTER15"/>
    <s v="Instagram"/>
    <n v="2052.42"/>
    <n v="2052.42"/>
    <s v="Correct"/>
    <x v="7"/>
    <n v="2023"/>
    <s v="Q4"/>
    <s v="Printer"/>
  </r>
  <r>
    <s v="ORD200142"/>
    <d v="2023-09-06T00:00:00"/>
    <s v="C86374"/>
    <x v="6"/>
    <n v="5"/>
    <n v="272.77"/>
    <s v="573 Main St"/>
    <x v="4"/>
    <s v="Pending"/>
    <s v="TRK79451491"/>
    <n v="7"/>
    <s v="WINTER15"/>
    <s v="Email"/>
    <n v="1363.85"/>
    <n v="1363.85"/>
    <s v="Correct"/>
    <x v="11"/>
    <n v="2023"/>
    <s v="Q3"/>
    <s v="Desk"/>
  </r>
  <r>
    <s v="ORD200143"/>
    <d v="2024-06-13T00:00:00"/>
    <s v="C66521"/>
    <x v="3"/>
    <n v="4"/>
    <n v="400.07"/>
    <s v="933 Main St"/>
    <x v="1"/>
    <s v="Shipped"/>
    <s v="TRK34654244"/>
    <n v="5"/>
    <s v="no coupoun"/>
    <s v="Referral"/>
    <n v="1600.28"/>
    <n v="1600.28"/>
    <s v="Correct"/>
    <x v="5"/>
    <n v="2024"/>
    <s v="Q2"/>
    <s v="Chair"/>
  </r>
  <r>
    <s v="ORD200144"/>
    <d v="2023-08-04T00:00:00"/>
    <s v="C63365"/>
    <x v="6"/>
    <n v="5"/>
    <n v="219.78"/>
    <s v="895 Main St"/>
    <x v="2"/>
    <s v="Pending"/>
    <s v="TRK80100887"/>
    <n v="8"/>
    <s v="no coupoun"/>
    <s v="Facebook"/>
    <n v="1098.9000000000001"/>
    <n v="1098.9000000000001"/>
    <s v="Correct"/>
    <x v="1"/>
    <n v="2023"/>
    <s v="Q3"/>
    <s v="Desk"/>
  </r>
  <r>
    <s v="ORD200145"/>
    <d v="2024-03-02T00:00:00"/>
    <s v="C85929"/>
    <x v="4"/>
    <n v="3"/>
    <n v="146.91"/>
    <s v="798 Main St"/>
    <x v="2"/>
    <s v="Delivered"/>
    <s v="TRK29318610"/>
    <n v="6"/>
    <s v="FREESHIP"/>
    <s v="Google"/>
    <n v="440.73"/>
    <n v="440.73"/>
    <s v="Correct"/>
    <x v="9"/>
    <n v="2024"/>
    <s v="Q1"/>
    <s v="Printer"/>
  </r>
  <r>
    <s v="ORD200146"/>
    <d v="2025-04-30T00:00:00"/>
    <s v="C84645"/>
    <x v="2"/>
    <n v="2"/>
    <n v="411.49"/>
    <s v="404 Main St"/>
    <x v="2"/>
    <s v="Returned"/>
    <s v="TRK68893369"/>
    <n v="4"/>
    <s v="no coupoun"/>
    <s v="Instagram"/>
    <n v="822.98"/>
    <n v="822.98"/>
    <s v="Correct"/>
    <x v="6"/>
    <n v="2025"/>
    <s v="Q2"/>
    <s v="Tablet"/>
  </r>
  <r>
    <s v="ORD200147"/>
    <d v="2025-05-06T00:00:00"/>
    <s v="C46316"/>
    <x v="5"/>
    <n v="2"/>
    <n v="465.18"/>
    <s v="893 Main St"/>
    <x v="2"/>
    <s v="Cancelled"/>
    <s v="TRK16196000"/>
    <n v="2"/>
    <s v="SAVE10"/>
    <s v="Google"/>
    <n v="930.36"/>
    <n v="930.36"/>
    <s v="Correct"/>
    <x v="4"/>
    <n v="2025"/>
    <s v="Q2"/>
    <s v="Laptop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s v="Google"/>
    <n v="639.82000000000005"/>
    <n v="639.82000000000005"/>
    <s v="Correct"/>
    <x v="8"/>
    <n v="2024"/>
    <s v="Q4"/>
    <s v="Phone"/>
  </r>
  <r>
    <s v="ORD200149"/>
    <d v="2023-12-27T00:00:00"/>
    <s v="C39671"/>
    <x v="5"/>
    <n v="1"/>
    <n v="217.56"/>
    <s v="174 Main St"/>
    <x v="0"/>
    <s v="Delivered"/>
    <s v="TRK47153818"/>
    <n v="3"/>
    <s v="no coupoun"/>
    <s v="Facebook"/>
    <n v="217.56"/>
    <n v="217.56"/>
    <s v="Correct"/>
    <x v="8"/>
    <n v="2023"/>
    <s v="Q4"/>
    <s v="Laptop"/>
  </r>
  <r>
    <s v="ORD200150"/>
    <d v="2023-12-13T00:00:00"/>
    <s v="C25503"/>
    <x v="1"/>
    <n v="2"/>
    <n v="105.57"/>
    <s v="981 Main St"/>
    <x v="0"/>
    <s v="Returned"/>
    <s v="TRK29878837"/>
    <n v="5"/>
    <s v="WINTER15"/>
    <s v="Google"/>
    <n v="211.14"/>
    <n v="211.14"/>
    <s v="Correct"/>
    <x v="8"/>
    <n v="2023"/>
    <s v="Q4"/>
    <s v="Phone"/>
  </r>
  <r>
    <s v="ORD200151"/>
    <d v="2023-12-01T00:00:00"/>
    <s v="C32960"/>
    <x v="4"/>
    <n v="5"/>
    <n v="444.76"/>
    <s v="947 Main St"/>
    <x v="0"/>
    <s v="Returned"/>
    <s v="TRK91226500"/>
    <n v="7"/>
    <s v="no coupoun"/>
    <s v="Email"/>
    <n v="2223.8000000000002"/>
    <n v="2223.8000000000002"/>
    <s v="Correct"/>
    <x v="8"/>
    <n v="2023"/>
    <s v="Q4"/>
    <s v="Printer"/>
  </r>
  <r>
    <s v="ORD200152"/>
    <d v="2025-01-02T00:00:00"/>
    <s v="C77736"/>
    <x v="3"/>
    <n v="2"/>
    <n v="399.04"/>
    <s v="659 Main St"/>
    <x v="4"/>
    <s v="Cancelled"/>
    <s v="TRK90329250"/>
    <n v="3"/>
    <s v="FREESHIP"/>
    <s v="Referral"/>
    <n v="798.08"/>
    <n v="798.08"/>
    <s v="Correct"/>
    <x v="0"/>
    <n v="2025"/>
    <s v="Q1"/>
    <s v="Chair"/>
  </r>
  <r>
    <s v="ORD200153"/>
    <d v="2024-12-18T00:00:00"/>
    <s v="C71570"/>
    <x v="3"/>
    <n v="4"/>
    <n v="534.48"/>
    <s v="437 Main St"/>
    <x v="1"/>
    <s v="Returned"/>
    <s v="TRK95992269"/>
    <n v="9"/>
    <s v="WINTER15"/>
    <s v="Instagram"/>
    <n v="2137.92"/>
    <n v="2137.92"/>
    <s v="Correct"/>
    <x v="8"/>
    <n v="2024"/>
    <s v="Q4"/>
    <s v="Chair"/>
  </r>
  <r>
    <s v="ORD200154"/>
    <d v="2023-07-20T00:00:00"/>
    <s v="C73587"/>
    <x v="1"/>
    <n v="4"/>
    <n v="408.21"/>
    <s v="727 Main St"/>
    <x v="2"/>
    <s v="Pending"/>
    <s v="TRK13955543"/>
    <n v="9"/>
    <s v="no coupoun"/>
    <s v="Instagram"/>
    <n v="1632.84"/>
    <n v="1632.84"/>
    <s v="Correct"/>
    <x v="10"/>
    <n v="2023"/>
    <s v="Q3"/>
    <s v="Phone"/>
  </r>
  <r>
    <s v="ORD200155"/>
    <d v="2023-02-27T00:00:00"/>
    <s v="C62740"/>
    <x v="1"/>
    <n v="1"/>
    <n v="424.4"/>
    <s v="446 Main St"/>
    <x v="1"/>
    <s v="Shipped"/>
    <s v="TRK20706408"/>
    <n v="6"/>
    <s v="WINTER15"/>
    <s v="Referral"/>
    <n v="424.4"/>
    <n v="424.4"/>
    <s v="Correct"/>
    <x v="2"/>
    <n v="2023"/>
    <s v="Q1"/>
    <s v="Phone"/>
  </r>
  <r>
    <s v="ORD200156"/>
    <d v="2024-11-08T00:00:00"/>
    <s v="C58808"/>
    <x v="3"/>
    <n v="2"/>
    <n v="269.83"/>
    <s v="651 Main St"/>
    <x v="1"/>
    <s v="Delivered"/>
    <s v="TRK24451893"/>
    <n v="4"/>
    <s v="SAVE10"/>
    <s v="Email"/>
    <n v="539.66"/>
    <n v="539.66"/>
    <s v="Correct"/>
    <x v="7"/>
    <n v="2024"/>
    <s v="Q4"/>
    <s v="Chair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s v="Facebook"/>
    <n v="1129.1600000000001"/>
    <n v="1129.1600000000001"/>
    <s v="Correct"/>
    <x v="2"/>
    <n v="2025"/>
    <s v="Q1"/>
    <s v="Monitor"/>
  </r>
  <r>
    <s v="ORD200158"/>
    <d v="2024-05-16T00:00:00"/>
    <s v="C23334"/>
    <x v="2"/>
    <n v="1"/>
    <n v="331.06"/>
    <s v="737 Main St"/>
    <x v="2"/>
    <s v="Pending"/>
    <s v="TRK46335144"/>
    <n v="5"/>
    <s v="WINTER15"/>
    <s v="Instagram"/>
    <n v="331.06"/>
    <n v="331.06"/>
    <s v="Correct"/>
    <x v="4"/>
    <n v="2024"/>
    <s v="Q2"/>
    <s v="Tablet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s v="Email"/>
    <n v="299.35000000000002"/>
    <n v="299.35000000000002"/>
    <s v="Correct"/>
    <x v="3"/>
    <n v="2023"/>
    <s v="Q4"/>
    <s v="Printer"/>
  </r>
  <r>
    <s v="ORD200160"/>
    <d v="2023-02-17T00:00:00"/>
    <s v="C38669"/>
    <x v="0"/>
    <n v="4"/>
    <n v="101.32"/>
    <s v="240 Main St"/>
    <x v="4"/>
    <s v="Pending"/>
    <s v="TRK81738254"/>
    <n v="7"/>
    <s v="no coupoun"/>
    <s v="Referral"/>
    <n v="405.28"/>
    <n v="405.28"/>
    <s v="Correct"/>
    <x v="2"/>
    <n v="2023"/>
    <s v="Q1"/>
    <s v="Monitor"/>
  </r>
  <r>
    <s v="ORD200161"/>
    <d v="2024-03-29T00:00:00"/>
    <s v="C35091"/>
    <x v="0"/>
    <n v="1"/>
    <n v="211.14"/>
    <s v="513 Main St"/>
    <x v="2"/>
    <s v="Cancelled"/>
    <s v="TRK53784452"/>
    <n v="1"/>
    <s v="SAVE10"/>
    <s v="Facebook"/>
    <n v="211.14"/>
    <n v="211.14"/>
    <s v="Correct"/>
    <x v="9"/>
    <n v="2024"/>
    <s v="Q1"/>
    <s v="Monitor"/>
  </r>
  <r>
    <s v="ORD200162"/>
    <d v="2023-07-27T00:00:00"/>
    <s v="C82313"/>
    <x v="3"/>
    <n v="3"/>
    <n v="65.86"/>
    <s v="917 Main St"/>
    <x v="1"/>
    <s v="Pending"/>
    <s v="TRK79854624"/>
    <n v="8"/>
    <s v="WINTER15"/>
    <s v="Google"/>
    <n v="197.58"/>
    <n v="197.57999999999998"/>
    <s v="Correct"/>
    <x v="10"/>
    <n v="2023"/>
    <s v="Q3"/>
    <s v="Chair"/>
  </r>
  <r>
    <s v="ORD200163"/>
    <d v="2025-06-24T00:00:00"/>
    <s v="C99589"/>
    <x v="2"/>
    <n v="1"/>
    <n v="641.39"/>
    <s v="277 Main St"/>
    <x v="1"/>
    <s v="Cancelled"/>
    <s v="TRK16695001"/>
    <n v="1"/>
    <s v="no coupoun"/>
    <s v="Referral"/>
    <n v="641.39"/>
    <n v="641.39"/>
    <s v="Correct"/>
    <x v="5"/>
    <n v="2025"/>
    <s v="Q2"/>
    <s v="Tablet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s v="Google"/>
    <n v="2682.9"/>
    <n v="2682.9"/>
    <s v="Correct"/>
    <x v="8"/>
    <n v="2023"/>
    <s v="Q4"/>
    <s v="Desk"/>
  </r>
  <r>
    <s v="ORD200165"/>
    <d v="2024-09-14T00:00:00"/>
    <s v="C60355"/>
    <x v="0"/>
    <n v="2"/>
    <n v="500.29"/>
    <s v="226 Main St"/>
    <x v="1"/>
    <s v="Returned"/>
    <s v="TRK30155194"/>
    <n v="7"/>
    <s v="WINTER15"/>
    <s v="Google"/>
    <n v="1000.58"/>
    <n v="1000.58"/>
    <s v="Correct"/>
    <x v="11"/>
    <n v="2024"/>
    <s v="Q3"/>
    <s v="Monitor"/>
  </r>
  <r>
    <s v="ORD200166"/>
    <d v="2025-03-04T00:00:00"/>
    <s v="C28889"/>
    <x v="3"/>
    <n v="3"/>
    <n v="86.29"/>
    <s v="565 Main St"/>
    <x v="4"/>
    <s v="Delivered"/>
    <s v="TRK23791726"/>
    <n v="6"/>
    <s v="WINTER15"/>
    <s v="Instagram"/>
    <n v="258.87"/>
    <n v="258.87"/>
    <s v="Correct"/>
    <x v="9"/>
    <n v="2025"/>
    <s v="Q1"/>
    <s v="Chair"/>
  </r>
  <r>
    <s v="ORD200167"/>
    <d v="2023-05-27T00:00:00"/>
    <s v="C88304"/>
    <x v="3"/>
    <n v="2"/>
    <n v="384.14"/>
    <s v="219 Main St"/>
    <x v="1"/>
    <s v="Returned"/>
    <s v="TRK44268941"/>
    <n v="2"/>
    <s v="WINTER15"/>
    <s v="Email"/>
    <n v="768.28"/>
    <n v="768.28"/>
    <s v="Correct"/>
    <x v="4"/>
    <n v="2023"/>
    <s v="Q2"/>
    <s v="Chair"/>
  </r>
  <r>
    <s v="ORD200168"/>
    <d v="2025-01-04T00:00:00"/>
    <s v="C49517"/>
    <x v="4"/>
    <n v="1"/>
    <n v="594.96"/>
    <s v="878 Main St"/>
    <x v="4"/>
    <s v="Returned"/>
    <s v="TRK78551375"/>
    <n v="6"/>
    <s v="no coupoun"/>
    <s v="Facebook"/>
    <n v="594.96"/>
    <n v="594.96"/>
    <s v="Correct"/>
    <x v="0"/>
    <n v="2025"/>
    <s v="Q1"/>
    <s v="Printer"/>
  </r>
  <r>
    <s v="ORD200169"/>
    <d v="2024-04-07T00:00:00"/>
    <s v="C35785"/>
    <x v="4"/>
    <n v="1"/>
    <n v="427.82"/>
    <s v="732 Main St"/>
    <x v="1"/>
    <s v="Delivered"/>
    <s v="TRK78923089"/>
    <n v="2"/>
    <s v="WINTER15"/>
    <s v="Email"/>
    <n v="427.82"/>
    <n v="427.82"/>
    <s v="Correct"/>
    <x v="6"/>
    <n v="2024"/>
    <s v="Q2"/>
    <s v="Printer"/>
  </r>
  <r>
    <s v="ORD200170"/>
    <d v="2025-04-04T00:00:00"/>
    <s v="C80223"/>
    <x v="6"/>
    <n v="4"/>
    <n v="662.94"/>
    <s v="535 Main St"/>
    <x v="4"/>
    <s v="Cancelled"/>
    <s v="TRK68632951"/>
    <n v="8"/>
    <s v="SAVE10"/>
    <s v="Instagram"/>
    <n v="2651.76"/>
    <n v="2651.76"/>
    <s v="Correct"/>
    <x v="6"/>
    <n v="2025"/>
    <s v="Q2"/>
    <s v="Desk"/>
  </r>
  <r>
    <s v="ORD200171"/>
    <d v="2023-08-15T00:00:00"/>
    <s v="C20448"/>
    <x v="2"/>
    <n v="2"/>
    <n v="148.22"/>
    <s v="336 Main St"/>
    <x v="2"/>
    <s v="Delivered"/>
    <s v="TRK67379895"/>
    <n v="7"/>
    <s v="WINTER15"/>
    <s v="Instagram"/>
    <n v="296.44"/>
    <n v="296.44"/>
    <s v="Correct"/>
    <x v="1"/>
    <n v="2023"/>
    <s v="Q3"/>
    <s v="Tablet"/>
  </r>
  <r>
    <s v="ORD200172"/>
    <d v="2025-04-06T00:00:00"/>
    <s v="C34134"/>
    <x v="4"/>
    <n v="1"/>
    <n v="254.12"/>
    <s v="365 Main St"/>
    <x v="1"/>
    <s v="Delivered"/>
    <s v="TRK43074303"/>
    <n v="1"/>
    <s v="WINTER15"/>
    <s v="Email"/>
    <n v="254.12"/>
    <n v="254.12"/>
    <s v="Correct"/>
    <x v="6"/>
    <n v="2025"/>
    <s v="Q2"/>
    <s v="Printer"/>
  </r>
  <r>
    <s v="ORD200173"/>
    <d v="2024-03-24T00:00:00"/>
    <s v="C95901"/>
    <x v="1"/>
    <n v="3"/>
    <n v="664.46"/>
    <s v="806 Main St"/>
    <x v="1"/>
    <s v="Delivered"/>
    <s v="TRK56989066"/>
    <n v="4"/>
    <s v="FREESHIP"/>
    <s v="Google"/>
    <n v="1993.38"/>
    <n v="1993.38"/>
    <s v="Correct"/>
    <x v="9"/>
    <n v="2024"/>
    <s v="Q1"/>
    <s v="Phone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s v="Email"/>
    <n v="2403.2399999999998"/>
    <n v="2403.2399999999998"/>
    <s v="Correct"/>
    <x v="6"/>
    <n v="2024"/>
    <s v="Q2"/>
    <s v="Printer"/>
  </r>
  <r>
    <s v="ORD200175"/>
    <d v="2025-02-08T00:00:00"/>
    <s v="C78170"/>
    <x v="3"/>
    <n v="5"/>
    <n v="68.34"/>
    <s v="332 Main St"/>
    <x v="0"/>
    <s v="Pending"/>
    <s v="TRK71410605"/>
    <n v="6"/>
    <s v="WINTER15"/>
    <s v="Referral"/>
    <n v="341.7"/>
    <n v="341.70000000000005"/>
    <s v="Correct"/>
    <x v="2"/>
    <n v="2025"/>
    <s v="Q1"/>
    <s v="Chair"/>
  </r>
  <r>
    <s v="ORD200176"/>
    <d v="2025-06-28T00:00:00"/>
    <s v="C80151"/>
    <x v="2"/>
    <n v="4"/>
    <n v="430.83"/>
    <s v="553 Main St"/>
    <x v="3"/>
    <s v="Pending"/>
    <s v="TRK88251529"/>
    <n v="8"/>
    <s v="WINTER15"/>
    <s v="Referral"/>
    <n v="1723.32"/>
    <n v="1723.32"/>
    <s v="Correct"/>
    <x v="5"/>
    <n v="2025"/>
    <s v="Q2"/>
    <s v="Tablet"/>
  </r>
  <r>
    <s v="ORD200177"/>
    <d v="2023-08-05T00:00:00"/>
    <s v="C55632"/>
    <x v="3"/>
    <n v="5"/>
    <n v="431.69"/>
    <s v="354 Main St"/>
    <x v="2"/>
    <s v="Pending"/>
    <s v="TRK13003066"/>
    <n v="10"/>
    <s v="no coupoun"/>
    <s v="Facebook"/>
    <n v="2158.4499999999998"/>
    <n v="2158.4499999999998"/>
    <s v="Correct"/>
    <x v="1"/>
    <n v="2023"/>
    <s v="Q3"/>
    <s v="Chair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s v="Google"/>
    <n v="2048.2399999999998"/>
    <n v="2048.2399999999998"/>
    <s v="Correct"/>
    <x v="6"/>
    <n v="2024"/>
    <s v="Q2"/>
    <s v="Chair"/>
  </r>
  <r>
    <s v="ORD200179"/>
    <d v="2024-11-24T00:00:00"/>
    <s v="C27401"/>
    <x v="5"/>
    <n v="3"/>
    <n v="539.91"/>
    <s v="500 Main St"/>
    <x v="2"/>
    <s v="Delivered"/>
    <s v="TRK14332053"/>
    <n v="8"/>
    <s v="no coupoun"/>
    <s v="Email"/>
    <n v="1619.73"/>
    <n v="1619.73"/>
    <s v="Correct"/>
    <x v="7"/>
    <n v="2024"/>
    <s v="Q4"/>
    <s v="Laptop"/>
  </r>
  <r>
    <s v="ORD200180"/>
    <d v="2023-03-18T00:00:00"/>
    <s v="C87216"/>
    <x v="2"/>
    <n v="5"/>
    <n v="316.07"/>
    <s v="970 Main St"/>
    <x v="4"/>
    <s v="Returned"/>
    <s v="TRK18713727"/>
    <n v="10"/>
    <s v="no coupoun"/>
    <s v="Google"/>
    <n v="1580.35"/>
    <n v="1580.35"/>
    <s v="Correct"/>
    <x v="9"/>
    <n v="2023"/>
    <s v="Q1"/>
    <s v="Tablet"/>
  </r>
  <r>
    <s v="ORD200181"/>
    <d v="2024-08-31T00:00:00"/>
    <s v="C38966"/>
    <x v="4"/>
    <n v="5"/>
    <n v="404.39"/>
    <s v="247 Main St"/>
    <x v="1"/>
    <s v="Shipped"/>
    <s v="TRK17205146"/>
    <n v="10"/>
    <s v="no coupoun"/>
    <s v="Referral"/>
    <n v="2021.95"/>
    <n v="2021.9499999999998"/>
    <s v="Correct"/>
    <x v="1"/>
    <n v="2024"/>
    <s v="Q3"/>
    <s v="Printer"/>
  </r>
  <r>
    <s v="ORD200182"/>
    <d v="2025-03-19T00:00:00"/>
    <s v="C16612"/>
    <x v="6"/>
    <n v="1"/>
    <n v="600.54"/>
    <s v="596 Main St"/>
    <x v="0"/>
    <s v="Pending"/>
    <s v="TRK96188223"/>
    <n v="4"/>
    <s v="WINTER15"/>
    <s v="Google"/>
    <n v="600.54"/>
    <n v="600.54"/>
    <s v="Correct"/>
    <x v="9"/>
    <n v="2025"/>
    <s v="Q1"/>
    <s v="Desk"/>
  </r>
  <r>
    <s v="ORD200183"/>
    <d v="2024-04-18T00:00:00"/>
    <s v="C39246"/>
    <x v="0"/>
    <n v="5"/>
    <n v="186.28"/>
    <s v="258 Main St"/>
    <x v="0"/>
    <s v="Delivered"/>
    <s v="TRK16658182"/>
    <n v="8"/>
    <s v="SAVE10"/>
    <s v="Email"/>
    <n v="931.4"/>
    <n v="931.4"/>
    <s v="Correct"/>
    <x v="6"/>
    <n v="2024"/>
    <s v="Q2"/>
    <s v="Monitor"/>
  </r>
  <r>
    <s v="ORD200184"/>
    <d v="2024-04-04T00:00:00"/>
    <s v="C65180"/>
    <x v="2"/>
    <n v="4"/>
    <n v="214.54"/>
    <s v="231 Main St"/>
    <x v="3"/>
    <s v="Cancelled"/>
    <s v="TRK39255469"/>
    <n v="7"/>
    <s v="no coupoun"/>
    <s v="Referral"/>
    <n v="858.16"/>
    <n v="858.16"/>
    <s v="Correct"/>
    <x v="6"/>
    <n v="2024"/>
    <s v="Q2"/>
    <s v="Tablet"/>
  </r>
  <r>
    <s v="ORD200185"/>
    <d v="2025-02-02T00:00:00"/>
    <s v="C46877"/>
    <x v="5"/>
    <n v="1"/>
    <n v="210.7"/>
    <s v="572 Main St"/>
    <x v="1"/>
    <s v="Shipped"/>
    <s v="TRK96935978"/>
    <n v="2"/>
    <s v="WINTER15"/>
    <s v="Referral"/>
    <n v="210.7"/>
    <n v="210.7"/>
    <s v="Correct"/>
    <x v="2"/>
    <n v="2025"/>
    <s v="Q1"/>
    <s v="Laptop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s v="Facebook"/>
    <n v="267.10000000000002"/>
    <n v="267.10000000000002"/>
    <s v="Correct"/>
    <x v="8"/>
    <n v="2023"/>
    <s v="Q4"/>
    <s v="Phone"/>
  </r>
  <r>
    <s v="ORD200187"/>
    <d v="2023-02-08T00:00:00"/>
    <s v="C21227"/>
    <x v="3"/>
    <n v="1"/>
    <n v="590.87"/>
    <s v="689 Main St"/>
    <x v="3"/>
    <s v="Returned"/>
    <s v="TRK79129657"/>
    <n v="6"/>
    <s v="FREESHIP"/>
    <s v="Referral"/>
    <n v="590.87"/>
    <n v="590.87"/>
    <s v="Correct"/>
    <x v="2"/>
    <n v="2023"/>
    <s v="Q1"/>
    <s v="Chair"/>
  </r>
  <r>
    <s v="ORD200188"/>
    <d v="2025-03-15T00:00:00"/>
    <s v="C97715"/>
    <x v="3"/>
    <n v="2"/>
    <n v="363.91"/>
    <s v="927 Main St"/>
    <x v="3"/>
    <s v="Shipped"/>
    <s v="TRK19515949"/>
    <n v="2"/>
    <s v="FREESHIP"/>
    <s v="Referral"/>
    <n v="727.82"/>
    <n v="727.82"/>
    <s v="Correct"/>
    <x v="9"/>
    <n v="2025"/>
    <s v="Q1"/>
    <s v="Chair"/>
  </r>
  <r>
    <s v="ORD200189"/>
    <d v="2023-07-05T00:00:00"/>
    <s v="C48939"/>
    <x v="4"/>
    <n v="5"/>
    <n v="429.45"/>
    <s v="597 Main St"/>
    <x v="3"/>
    <s v="Cancelled"/>
    <s v="TRK62786764"/>
    <n v="5"/>
    <s v="WINTER15"/>
    <s v="Email"/>
    <n v="2147.25"/>
    <n v="2147.25"/>
    <s v="Correct"/>
    <x v="10"/>
    <n v="2023"/>
    <s v="Q3"/>
    <s v="Printer"/>
  </r>
  <r>
    <s v="ORD200190"/>
    <d v="2024-08-31T00:00:00"/>
    <s v="C35483"/>
    <x v="4"/>
    <n v="3"/>
    <n v="223.7"/>
    <s v="725 Main St"/>
    <x v="4"/>
    <s v="Returned"/>
    <s v="TRK79638203"/>
    <n v="3"/>
    <s v="SAVE10"/>
    <s v="Email"/>
    <n v="671.09999999999991"/>
    <n v="671.09999999999991"/>
    <s v="Correct"/>
    <x v="1"/>
    <n v="2024"/>
    <s v="Q3"/>
    <s v="Printer"/>
  </r>
  <r>
    <s v="ORD200191"/>
    <d v="2025-03-08T00:00:00"/>
    <s v="C51494"/>
    <x v="5"/>
    <n v="2"/>
    <n v="488.87"/>
    <s v="505 Main St"/>
    <x v="1"/>
    <s v="Cancelled"/>
    <s v="TRK58520306"/>
    <n v="4"/>
    <s v="FREESHIP"/>
    <s v="Google"/>
    <n v="977.74"/>
    <n v="977.74"/>
    <s v="Correct"/>
    <x v="9"/>
    <n v="2025"/>
    <s v="Q1"/>
    <s v="Laptop"/>
  </r>
  <r>
    <s v="ORD200192"/>
    <d v="2023-08-11T00:00:00"/>
    <s v="C58410"/>
    <x v="6"/>
    <n v="1"/>
    <n v="645.46"/>
    <s v="151 Main St"/>
    <x v="3"/>
    <s v="Cancelled"/>
    <s v="TRK19749672"/>
    <n v="5"/>
    <s v="SAVE10"/>
    <s v="Google"/>
    <n v="645.46"/>
    <n v="645.46"/>
    <s v="Correct"/>
    <x v="1"/>
    <n v="2023"/>
    <s v="Q3"/>
    <s v="Desk"/>
  </r>
  <r>
    <s v="ORD200193"/>
    <d v="2023-07-21T00:00:00"/>
    <s v="C11644"/>
    <x v="4"/>
    <n v="1"/>
    <n v="46.66"/>
    <s v="429 Main St"/>
    <x v="4"/>
    <s v="Cancelled"/>
    <s v="TRK81320339"/>
    <n v="6"/>
    <s v="no coupoun"/>
    <s v="Google"/>
    <n v="46.66"/>
    <n v="46.66"/>
    <s v="Correct"/>
    <x v="10"/>
    <n v="2023"/>
    <s v="Q3"/>
    <s v="Printer"/>
  </r>
  <r>
    <s v="ORD200194"/>
    <d v="2024-06-08T00:00:00"/>
    <s v="C53501"/>
    <x v="0"/>
    <n v="1"/>
    <n v="249.57"/>
    <s v="899 Main St"/>
    <x v="4"/>
    <s v="Shipped"/>
    <s v="TRK90144892"/>
    <n v="3"/>
    <s v="FREESHIP"/>
    <s v="Google"/>
    <n v="249.57"/>
    <n v="249.57"/>
    <s v="Correct"/>
    <x v="5"/>
    <n v="2024"/>
    <s v="Q2"/>
    <s v="Monitor"/>
  </r>
  <r>
    <s v="ORD200195"/>
    <d v="2024-04-22T00:00:00"/>
    <s v="C63619"/>
    <x v="3"/>
    <n v="3"/>
    <n v="619.21"/>
    <s v="801 Main St"/>
    <x v="0"/>
    <s v="Cancelled"/>
    <s v="TRK65385674"/>
    <n v="6"/>
    <s v="no coupoun"/>
    <s v="Email"/>
    <n v="1857.63"/>
    <n v="1857.63"/>
    <s v="Correct"/>
    <x v="6"/>
    <n v="2024"/>
    <s v="Q2"/>
    <s v="Chair"/>
  </r>
  <r>
    <s v="ORD200196"/>
    <d v="2025-01-24T00:00:00"/>
    <s v="C40882"/>
    <x v="6"/>
    <n v="4"/>
    <n v="217.13"/>
    <s v="719 Main St"/>
    <x v="4"/>
    <s v="Delivered"/>
    <s v="TRK64165503"/>
    <n v="8"/>
    <s v="WINTER15"/>
    <s v="Email"/>
    <n v="868.52"/>
    <n v="868.52"/>
    <s v="Correct"/>
    <x v="0"/>
    <n v="2025"/>
    <s v="Q1"/>
    <s v="Desk"/>
  </r>
  <r>
    <s v="ORD200197"/>
    <d v="2023-08-27T00:00:00"/>
    <s v="C80135"/>
    <x v="5"/>
    <n v="5"/>
    <n v="221.51"/>
    <s v="723 Main St"/>
    <x v="4"/>
    <s v="Returned"/>
    <s v="TRK95222269"/>
    <n v="5"/>
    <s v="WINTER15"/>
    <s v="Referral"/>
    <n v="1107.55"/>
    <n v="1107.55"/>
    <s v="Correct"/>
    <x v="1"/>
    <n v="2023"/>
    <s v="Q3"/>
    <s v="Laptop"/>
  </r>
  <r>
    <s v="ORD200198"/>
    <d v="2024-06-11T00:00:00"/>
    <s v="C37594"/>
    <x v="5"/>
    <n v="4"/>
    <n v="340.3"/>
    <s v="926 Main St"/>
    <x v="4"/>
    <s v="Cancelled"/>
    <s v="TRK94405162"/>
    <n v="8"/>
    <s v="SAVE10"/>
    <s v="Referral"/>
    <n v="1361.2"/>
    <n v="1361.2"/>
    <s v="Correct"/>
    <x v="5"/>
    <n v="2024"/>
    <s v="Q2"/>
    <s v="Laptop"/>
  </r>
  <r>
    <s v="ORD200199"/>
    <d v="2025-01-23T00:00:00"/>
    <s v="C87524"/>
    <x v="1"/>
    <n v="1"/>
    <n v="625"/>
    <s v="358 Main St"/>
    <x v="1"/>
    <s v="Returned"/>
    <s v="TRK21114341"/>
    <n v="5"/>
    <s v="WINTER15"/>
    <s v="Google"/>
    <n v="625"/>
    <n v="625"/>
    <s v="Correct"/>
    <x v="0"/>
    <n v="2025"/>
    <s v="Q1"/>
    <s v="Phone"/>
  </r>
  <r>
    <s v="ORD200200"/>
    <d v="2025-06-07T00:00:00"/>
    <s v="C97681"/>
    <x v="2"/>
    <n v="5"/>
    <n v="433.26"/>
    <s v="895 Main St"/>
    <x v="2"/>
    <s v="Delivered"/>
    <s v="TRK37531040"/>
    <n v="9"/>
    <s v="SAVE10"/>
    <s v="Google"/>
    <n v="2166.3000000000002"/>
    <n v="2166.3000000000002"/>
    <s v="Correct"/>
    <x v="5"/>
    <n v="2025"/>
    <s v="Q2"/>
    <s v="Tablet"/>
  </r>
  <r>
    <s v="ORD200201"/>
    <d v="2023-06-18T00:00:00"/>
    <s v="C10126"/>
    <x v="0"/>
    <n v="2"/>
    <n v="674.9"/>
    <s v="146 Main St"/>
    <x v="1"/>
    <s v="Shipped"/>
    <s v="TRK75607531"/>
    <n v="4"/>
    <s v="SAVE10"/>
    <s v="Facebook"/>
    <n v="1349.8"/>
    <n v="1349.8"/>
    <s v="Correct"/>
    <x v="5"/>
    <n v="2023"/>
    <s v="Q2"/>
    <s v="Monitor"/>
  </r>
  <r>
    <s v="ORD200202"/>
    <d v="2025-02-06T00:00:00"/>
    <s v="C36938"/>
    <x v="0"/>
    <n v="3"/>
    <n v="253.98"/>
    <s v="636 Main St"/>
    <x v="2"/>
    <s v="Cancelled"/>
    <s v="TRK52522904"/>
    <n v="3"/>
    <s v="FREESHIP"/>
    <s v="Email"/>
    <n v="761.93999999999994"/>
    <n v="761.93999999999994"/>
    <s v="Correct"/>
    <x v="2"/>
    <n v="2025"/>
    <s v="Q1"/>
    <s v="Monitor"/>
  </r>
  <r>
    <s v="ORD200203"/>
    <d v="2025-01-21T00:00:00"/>
    <s v="C99173"/>
    <x v="4"/>
    <n v="3"/>
    <n v="356.84"/>
    <s v="172 Main St"/>
    <x v="1"/>
    <s v="Shipped"/>
    <s v="TRK89849342"/>
    <n v="5"/>
    <s v="SAVE10"/>
    <s v="Instagram"/>
    <n v="1070.52"/>
    <n v="1070.52"/>
    <s v="Correct"/>
    <x v="0"/>
    <n v="2025"/>
    <s v="Q1"/>
    <s v="Printer"/>
  </r>
  <r>
    <s v="ORD200204"/>
    <d v="2023-09-05T00:00:00"/>
    <s v="C99775"/>
    <x v="5"/>
    <n v="4"/>
    <n v="413.71"/>
    <s v="478 Main St"/>
    <x v="3"/>
    <s v="Cancelled"/>
    <s v="TRK21638425"/>
    <n v="9"/>
    <s v="FREESHIP"/>
    <s v="Facebook"/>
    <n v="1654.84"/>
    <n v="1654.84"/>
    <s v="Correct"/>
    <x v="11"/>
    <n v="2023"/>
    <s v="Q3"/>
    <s v="Laptop"/>
  </r>
  <r>
    <s v="ORD200205"/>
    <d v="2023-03-04T00:00:00"/>
    <s v="C19266"/>
    <x v="6"/>
    <n v="3"/>
    <n v="147.38999999999999"/>
    <s v="609 Main St"/>
    <x v="0"/>
    <s v="Returned"/>
    <s v="TRK58357269"/>
    <n v="3"/>
    <s v="no coupoun"/>
    <s v="Email"/>
    <n v="442.17"/>
    <n v="442.16999999999996"/>
    <s v="Correct"/>
    <x v="9"/>
    <n v="2023"/>
    <s v="Q1"/>
    <s v="Desk"/>
  </r>
  <r>
    <s v="ORD200206"/>
    <d v="2024-04-16T00:00:00"/>
    <s v="C31072"/>
    <x v="5"/>
    <n v="4"/>
    <n v="229.1"/>
    <s v="729 Main St"/>
    <x v="3"/>
    <s v="Returned"/>
    <s v="TRK77172975"/>
    <n v="8"/>
    <s v="WINTER15"/>
    <s v="Email"/>
    <n v="916.4"/>
    <n v="916.4"/>
    <s v="Correct"/>
    <x v="6"/>
    <n v="2024"/>
    <s v="Q2"/>
    <s v="Laptop"/>
  </r>
  <r>
    <s v="ORD200207"/>
    <d v="2025-03-18T00:00:00"/>
    <s v="C54595"/>
    <x v="1"/>
    <n v="1"/>
    <n v="121.96"/>
    <s v="999 Main St"/>
    <x v="0"/>
    <s v="Delivered"/>
    <s v="TRK44416659"/>
    <n v="3"/>
    <s v="no coupoun"/>
    <s v="Google"/>
    <n v="121.96"/>
    <n v="121.96"/>
    <s v="Correct"/>
    <x v="9"/>
    <n v="2025"/>
    <s v="Q1"/>
    <s v="Phone"/>
  </r>
  <r>
    <s v="ORD200208"/>
    <d v="2024-10-08T00:00:00"/>
    <s v="C87777"/>
    <x v="6"/>
    <n v="2"/>
    <n v="408.32"/>
    <s v="597 Main St"/>
    <x v="1"/>
    <s v="Shipped"/>
    <s v="TRK29003608"/>
    <n v="3"/>
    <s v="FREESHIP"/>
    <s v="Facebook"/>
    <n v="816.64"/>
    <n v="816.64"/>
    <s v="Correct"/>
    <x v="3"/>
    <n v="2024"/>
    <s v="Q4"/>
    <s v="Desk"/>
  </r>
  <r>
    <s v="ORD200209"/>
    <d v="2023-08-29T00:00:00"/>
    <s v="C35854"/>
    <x v="2"/>
    <n v="5"/>
    <n v="187.97"/>
    <s v="706 Main St"/>
    <x v="4"/>
    <s v="Returned"/>
    <s v="TRK30615168"/>
    <n v="9"/>
    <s v="SAVE10"/>
    <s v="Google"/>
    <n v="939.85"/>
    <n v="939.85"/>
    <s v="Correct"/>
    <x v="1"/>
    <n v="2023"/>
    <s v="Q3"/>
    <s v="Tablet"/>
  </r>
  <r>
    <s v="ORD200210"/>
    <d v="2024-12-05T00:00:00"/>
    <s v="C93821"/>
    <x v="3"/>
    <n v="3"/>
    <n v="358.48"/>
    <s v="513 Main St"/>
    <x v="3"/>
    <s v="Delivered"/>
    <s v="TRK10658539"/>
    <n v="7"/>
    <s v="FREESHIP"/>
    <s v="Facebook"/>
    <n v="1075.44"/>
    <n v="1075.44"/>
    <s v="Correct"/>
    <x v="8"/>
    <n v="2024"/>
    <s v="Q4"/>
    <s v="Chair"/>
  </r>
  <r>
    <s v="ORD200211"/>
    <d v="2025-01-03T00:00:00"/>
    <s v="C54390"/>
    <x v="4"/>
    <n v="3"/>
    <n v="193.58"/>
    <s v="185 Main St"/>
    <x v="3"/>
    <s v="Pending"/>
    <s v="TRK83853742"/>
    <n v="7"/>
    <s v="FREESHIP"/>
    <s v="Email"/>
    <n v="580.74"/>
    <n v="580.74"/>
    <s v="Correct"/>
    <x v="0"/>
    <n v="2025"/>
    <s v="Q1"/>
    <s v="Printer"/>
  </r>
  <r>
    <s v="ORD200212"/>
    <d v="2023-06-20T00:00:00"/>
    <s v="C53215"/>
    <x v="0"/>
    <n v="1"/>
    <n v="265.38"/>
    <s v="367 Main St"/>
    <x v="2"/>
    <s v="Cancelled"/>
    <s v="TRK34751835"/>
    <n v="6"/>
    <s v="WINTER15"/>
    <s v="Email"/>
    <n v="265.38"/>
    <n v="265.38"/>
    <s v="Correct"/>
    <x v="5"/>
    <n v="2023"/>
    <s v="Q2"/>
    <s v="Monitor"/>
  </r>
  <r>
    <s v="ORD200213"/>
    <d v="2023-04-20T00:00:00"/>
    <s v="C71122"/>
    <x v="5"/>
    <n v="1"/>
    <n v="634.4"/>
    <s v="317 Main St"/>
    <x v="4"/>
    <s v="Cancelled"/>
    <s v="TRK54757882"/>
    <n v="6"/>
    <s v="SAVE10"/>
    <s v="Email"/>
    <n v="634.4"/>
    <n v="634.4"/>
    <s v="Correct"/>
    <x v="6"/>
    <n v="2023"/>
    <s v="Q2"/>
    <s v="Laptop"/>
  </r>
  <r>
    <s v="ORD200214"/>
    <d v="2024-08-21T00:00:00"/>
    <s v="C29483"/>
    <x v="6"/>
    <n v="4"/>
    <n v="305.72000000000003"/>
    <s v="673 Main St"/>
    <x v="1"/>
    <s v="Delivered"/>
    <s v="TRK89423603"/>
    <n v="5"/>
    <s v="no coupoun"/>
    <s v="Facebook"/>
    <n v="1222.8800000000001"/>
    <n v="1222.8800000000001"/>
    <s v="Correct"/>
    <x v="1"/>
    <n v="2024"/>
    <s v="Q3"/>
    <s v="Desk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s v="Facebook"/>
    <n v="303.60000000000002"/>
    <n v="303.60000000000002"/>
    <s v="Correct"/>
    <x v="1"/>
    <n v="2023"/>
    <s v="Q3"/>
    <s v="Printer"/>
  </r>
  <r>
    <s v="ORD200216"/>
    <d v="2025-04-15T00:00:00"/>
    <s v="C70492"/>
    <x v="0"/>
    <n v="4"/>
    <n v="496"/>
    <s v="811 Main St"/>
    <x v="1"/>
    <s v="Cancelled"/>
    <s v="TRK84625405"/>
    <n v="8"/>
    <s v="WINTER15"/>
    <s v="Google"/>
    <n v="1984"/>
    <n v="1984"/>
    <s v="Correct"/>
    <x v="6"/>
    <n v="2025"/>
    <s v="Q2"/>
    <s v="Monitor"/>
  </r>
  <r>
    <s v="ORD200217"/>
    <d v="2024-05-20T00:00:00"/>
    <s v="C61549"/>
    <x v="6"/>
    <n v="4"/>
    <n v="321.51"/>
    <s v="908 Main St"/>
    <x v="4"/>
    <s v="Returned"/>
    <s v="TRK65596914"/>
    <n v="9"/>
    <s v="no coupoun"/>
    <s v="Google"/>
    <n v="1286.04"/>
    <n v="1286.04"/>
    <s v="Correct"/>
    <x v="4"/>
    <n v="2024"/>
    <s v="Q2"/>
    <s v="Desk"/>
  </r>
  <r>
    <s v="ORD200218"/>
    <d v="2023-04-28T00:00:00"/>
    <s v="C11665"/>
    <x v="2"/>
    <n v="3"/>
    <n v="112.46"/>
    <s v="882 Main St"/>
    <x v="3"/>
    <s v="Shipped"/>
    <s v="TRK10993930"/>
    <n v="6"/>
    <s v="SAVE10"/>
    <s v="Instagram"/>
    <n v="337.38"/>
    <n v="337.38"/>
    <s v="Correct"/>
    <x v="6"/>
    <n v="2023"/>
    <s v="Q2"/>
    <s v="Tablet"/>
  </r>
  <r>
    <s v="ORD200219"/>
    <d v="2025-05-02T00:00:00"/>
    <s v="C48946"/>
    <x v="5"/>
    <n v="5"/>
    <n v="61.97"/>
    <s v="457 Main St"/>
    <x v="4"/>
    <s v="Delivered"/>
    <s v="TRK99387220"/>
    <n v="6"/>
    <s v="SAVE10"/>
    <s v="Email"/>
    <n v="309.85000000000002"/>
    <n v="309.85000000000002"/>
    <s v="Correct"/>
    <x v="4"/>
    <n v="2025"/>
    <s v="Q2"/>
    <s v="Laptop"/>
  </r>
  <r>
    <s v="ORD200220"/>
    <d v="2023-07-18T00:00:00"/>
    <s v="C79506"/>
    <x v="5"/>
    <n v="2"/>
    <n v="373.17"/>
    <s v="497 Main St"/>
    <x v="2"/>
    <s v="Pending"/>
    <s v="TRK95188748"/>
    <n v="6"/>
    <s v="SAVE10"/>
    <s v="Referral"/>
    <n v="746.34"/>
    <n v="746.34"/>
    <s v="Correct"/>
    <x v="10"/>
    <n v="2023"/>
    <s v="Q3"/>
    <s v="Laptop"/>
  </r>
  <r>
    <s v="ORD200221"/>
    <d v="2024-02-23T00:00:00"/>
    <s v="C93473"/>
    <x v="2"/>
    <n v="5"/>
    <n v="639.37"/>
    <s v="552 Main St"/>
    <x v="0"/>
    <s v="Pending"/>
    <s v="TRK50003989"/>
    <n v="6"/>
    <s v="SAVE10"/>
    <s v="Google"/>
    <n v="3196.85"/>
    <n v="3196.85"/>
    <s v="Correct"/>
    <x v="2"/>
    <n v="2024"/>
    <s v="Q1"/>
    <s v="Tablet"/>
  </r>
  <r>
    <s v="ORD200222"/>
    <d v="2023-05-04T00:00:00"/>
    <s v="C43124"/>
    <x v="3"/>
    <n v="4"/>
    <n v="693.36"/>
    <s v="931 Main St"/>
    <x v="1"/>
    <s v="Shipped"/>
    <s v="TRK17293348"/>
    <n v="8"/>
    <s v="no coupoun"/>
    <s v="Instagram"/>
    <n v="2773.44"/>
    <n v="2773.44"/>
    <s v="Correct"/>
    <x v="4"/>
    <n v="2023"/>
    <s v="Q2"/>
    <s v="Chair"/>
  </r>
  <r>
    <s v="ORD200223"/>
    <d v="2024-09-11T00:00:00"/>
    <s v="C22783"/>
    <x v="1"/>
    <n v="4"/>
    <n v="692.91"/>
    <s v="673 Main St"/>
    <x v="2"/>
    <s v="Pending"/>
    <s v="TRK55009149"/>
    <n v="9"/>
    <s v="SAVE10"/>
    <s v="Instagram"/>
    <n v="2771.64"/>
    <n v="2771.64"/>
    <s v="Correct"/>
    <x v="11"/>
    <n v="2024"/>
    <s v="Q3"/>
    <s v="Phone"/>
  </r>
  <r>
    <s v="ORD200224"/>
    <d v="2023-09-23T00:00:00"/>
    <s v="C18567"/>
    <x v="4"/>
    <n v="4"/>
    <n v="91.46"/>
    <s v="507 Main St"/>
    <x v="4"/>
    <s v="Cancelled"/>
    <s v="TRK17554673"/>
    <n v="9"/>
    <s v="SAVE10"/>
    <s v="Referral"/>
    <n v="365.84"/>
    <n v="365.84"/>
    <s v="Correct"/>
    <x v="11"/>
    <n v="2023"/>
    <s v="Q3"/>
    <s v="Printer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s v="Google"/>
    <n v="821.87999999999988"/>
    <n v="821.87999999999988"/>
    <s v="Correct"/>
    <x v="9"/>
    <n v="2024"/>
    <s v="Q1"/>
    <s v="Phone"/>
  </r>
  <r>
    <s v="ORD200226"/>
    <d v="2025-06-27T00:00:00"/>
    <s v="C31501"/>
    <x v="6"/>
    <n v="3"/>
    <n v="588.04999999999995"/>
    <s v="242 Main St"/>
    <x v="3"/>
    <s v="Delivered"/>
    <s v="TRK93063929"/>
    <n v="8"/>
    <s v="no coupoun"/>
    <s v="Instagram"/>
    <n v="1764.15"/>
    <n v="1764.1499999999999"/>
    <s v="Correct"/>
    <x v="5"/>
    <n v="2025"/>
    <s v="Q2"/>
    <s v="Desk"/>
  </r>
  <r>
    <s v="ORD200227"/>
    <d v="2023-11-02T00:00:00"/>
    <s v="C93220"/>
    <x v="0"/>
    <n v="2"/>
    <n v="365.17"/>
    <s v="353 Main St"/>
    <x v="1"/>
    <s v="Cancelled"/>
    <s v="TRK89023251"/>
    <n v="4"/>
    <s v="FREESHIP"/>
    <s v="Facebook"/>
    <n v="730.34"/>
    <n v="730.34"/>
    <s v="Correct"/>
    <x v="7"/>
    <n v="2023"/>
    <s v="Q4"/>
    <s v="Monitor"/>
  </r>
  <r>
    <s v="ORD200228"/>
    <d v="2023-05-17T00:00:00"/>
    <s v="C57867"/>
    <x v="3"/>
    <n v="4"/>
    <n v="385.92"/>
    <s v="579 Main St"/>
    <x v="2"/>
    <s v="Cancelled"/>
    <s v="TRK92055007"/>
    <n v="8"/>
    <s v="no coupoun"/>
    <s v="Instagram"/>
    <n v="1543.68"/>
    <n v="1543.68"/>
    <s v="Correct"/>
    <x v="4"/>
    <n v="2023"/>
    <s v="Q2"/>
    <s v="Chair"/>
  </r>
  <r>
    <s v="ORD200229"/>
    <d v="2025-03-28T00:00:00"/>
    <s v="C62622"/>
    <x v="2"/>
    <n v="1"/>
    <n v="562.61"/>
    <s v="762 Main St"/>
    <x v="2"/>
    <s v="Delivered"/>
    <s v="TRK70997648"/>
    <n v="3"/>
    <s v="WINTER15"/>
    <s v="Facebook"/>
    <n v="562.61"/>
    <n v="562.61"/>
    <s v="Correct"/>
    <x v="9"/>
    <n v="2025"/>
    <s v="Q1"/>
    <s v="Tablet"/>
  </r>
  <r>
    <s v="ORD200230"/>
    <d v="2023-12-16T00:00:00"/>
    <s v="C94595"/>
    <x v="6"/>
    <n v="4"/>
    <n v="61.91"/>
    <s v="948 Main St"/>
    <x v="3"/>
    <s v="Delivered"/>
    <s v="TRK24497305"/>
    <n v="6"/>
    <s v="WINTER15"/>
    <s v="Email"/>
    <n v="247.64"/>
    <n v="247.64"/>
    <s v="Correct"/>
    <x v="8"/>
    <n v="2023"/>
    <s v="Q4"/>
    <s v="Desk"/>
  </r>
  <r>
    <s v="ORD200231"/>
    <d v="2023-11-05T00:00:00"/>
    <s v="C30955"/>
    <x v="1"/>
    <n v="4"/>
    <n v="41.9"/>
    <s v="327 Main St"/>
    <x v="3"/>
    <s v="Pending"/>
    <s v="TRK46898848"/>
    <n v="9"/>
    <s v="FREESHIP"/>
    <s v="Instagram"/>
    <n v="167.6"/>
    <n v="167.6"/>
    <s v="Correct"/>
    <x v="7"/>
    <n v="2023"/>
    <s v="Q4"/>
    <s v="Phone"/>
  </r>
  <r>
    <s v="ORD200232"/>
    <d v="2023-05-19T00:00:00"/>
    <s v="C20731"/>
    <x v="4"/>
    <n v="4"/>
    <n v="444.44"/>
    <s v="610 Main St"/>
    <x v="0"/>
    <s v="Cancelled"/>
    <s v="TRK75568437"/>
    <n v="8"/>
    <s v="WINTER15"/>
    <s v="Google"/>
    <n v="1777.76"/>
    <n v="1777.76"/>
    <s v="Correct"/>
    <x v="4"/>
    <n v="2023"/>
    <s v="Q2"/>
    <s v="Printer"/>
  </r>
  <r>
    <s v="ORD200233"/>
    <d v="2024-08-24T00:00:00"/>
    <s v="C30168"/>
    <x v="1"/>
    <n v="3"/>
    <n v="311.33"/>
    <s v="146 Main St"/>
    <x v="4"/>
    <s v="Cancelled"/>
    <s v="TRK73699939"/>
    <n v="3"/>
    <s v="WINTER15"/>
    <s v="Instagram"/>
    <n v="933.99"/>
    <n v="933.99"/>
    <s v="Correct"/>
    <x v="1"/>
    <n v="2024"/>
    <s v="Q3"/>
    <s v="Phone"/>
  </r>
  <r>
    <s v="ORD200234"/>
    <d v="2024-11-26T00:00:00"/>
    <s v="C79842"/>
    <x v="4"/>
    <n v="4"/>
    <n v="236.41"/>
    <s v="337 Main St"/>
    <x v="0"/>
    <s v="Pending"/>
    <s v="TRK26957950"/>
    <n v="7"/>
    <s v="SAVE10"/>
    <s v="Google"/>
    <n v="945.64"/>
    <n v="945.64"/>
    <s v="Correct"/>
    <x v="7"/>
    <n v="2024"/>
    <s v="Q4"/>
    <s v="Printer"/>
  </r>
  <r>
    <s v="ORD200235"/>
    <d v="2023-02-20T00:00:00"/>
    <s v="C32854"/>
    <x v="6"/>
    <n v="1"/>
    <n v="65.45"/>
    <s v="815 Main St"/>
    <x v="4"/>
    <s v="Pending"/>
    <s v="TRK30009218"/>
    <n v="2"/>
    <s v="WINTER15"/>
    <s v="Google"/>
    <n v="65.45"/>
    <n v="65.45"/>
    <s v="Correct"/>
    <x v="2"/>
    <n v="2023"/>
    <s v="Q1"/>
    <s v="Desk"/>
  </r>
  <r>
    <s v="ORD200236"/>
    <d v="2023-01-01T00:00:00"/>
    <s v="C14847"/>
    <x v="0"/>
    <n v="1"/>
    <n v="318.81"/>
    <s v="562 Main St"/>
    <x v="0"/>
    <s v="Pending"/>
    <s v="TRK39663243"/>
    <n v="3"/>
    <s v="WINTER15"/>
    <s v="Email"/>
    <n v="318.81"/>
    <n v="318.81"/>
    <s v="Correct"/>
    <x v="0"/>
    <n v="2023"/>
    <s v="Q1"/>
    <s v="Monitor"/>
  </r>
  <r>
    <s v="ORD200237"/>
    <d v="2024-03-14T00:00:00"/>
    <s v="C88645"/>
    <x v="0"/>
    <n v="3"/>
    <n v="583.72"/>
    <s v="783 Main St"/>
    <x v="2"/>
    <s v="Shipped"/>
    <s v="TRK74097570"/>
    <n v="5"/>
    <s v="FREESHIP"/>
    <s v="Facebook"/>
    <n v="1751.16"/>
    <n v="1751.16"/>
    <s v="Correct"/>
    <x v="9"/>
    <n v="2024"/>
    <s v="Q1"/>
    <s v="Monitor"/>
  </r>
  <r>
    <s v="ORD200238"/>
    <d v="2024-12-13T00:00:00"/>
    <s v="C66149"/>
    <x v="6"/>
    <n v="4"/>
    <n v="384.32"/>
    <s v="770 Main St"/>
    <x v="2"/>
    <s v="Pending"/>
    <s v="TRK76307307"/>
    <n v="6"/>
    <s v="WINTER15"/>
    <s v="Google"/>
    <n v="1537.28"/>
    <n v="1537.28"/>
    <s v="Correct"/>
    <x v="8"/>
    <n v="2024"/>
    <s v="Q4"/>
    <s v="Desk"/>
  </r>
  <r>
    <s v="ORD200239"/>
    <d v="2024-12-11T00:00:00"/>
    <s v="C20256"/>
    <x v="2"/>
    <n v="3"/>
    <n v="538.74"/>
    <s v="456 Main St"/>
    <x v="1"/>
    <s v="Shipped"/>
    <s v="TRK71127943"/>
    <n v="6"/>
    <s v="FREESHIP"/>
    <s v="Email"/>
    <n v="1616.22"/>
    <n v="1616.22"/>
    <s v="Correct"/>
    <x v="8"/>
    <n v="2024"/>
    <s v="Q4"/>
    <s v="Tablet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s v="Instagram"/>
    <n v="17.239999999999998"/>
    <n v="17.239999999999998"/>
    <s v="Correct"/>
    <x v="10"/>
    <n v="2023"/>
    <s v="Q3"/>
    <s v="Tablet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s v="Email"/>
    <n v="3078.35"/>
    <n v="3078.35"/>
    <s v="Correct"/>
    <x v="4"/>
    <n v="2023"/>
    <s v="Q2"/>
    <s v="Chair"/>
  </r>
  <r>
    <s v="ORD200242"/>
    <d v="2023-05-09T00:00:00"/>
    <s v="C94921"/>
    <x v="4"/>
    <n v="2"/>
    <n v="219.1"/>
    <s v="134 Main St"/>
    <x v="1"/>
    <s v="Pending"/>
    <s v="TRK97794327"/>
    <n v="4"/>
    <s v="SAVE10"/>
    <s v="Referral"/>
    <n v="438.2"/>
    <n v="438.2"/>
    <s v="Correct"/>
    <x v="4"/>
    <n v="2023"/>
    <s v="Q2"/>
    <s v="Printer"/>
  </r>
  <r>
    <s v="ORD200243"/>
    <d v="2025-05-09T00:00:00"/>
    <s v="C54725"/>
    <x v="3"/>
    <n v="2"/>
    <n v="144.66"/>
    <s v="506 Main St"/>
    <x v="1"/>
    <s v="Cancelled"/>
    <s v="TRK30601940"/>
    <n v="7"/>
    <s v="FREESHIP"/>
    <s v="Google"/>
    <n v="289.32"/>
    <n v="289.32"/>
    <s v="Correct"/>
    <x v="4"/>
    <n v="2025"/>
    <s v="Q2"/>
    <s v="Chair"/>
  </r>
  <r>
    <s v="ORD200244"/>
    <d v="2023-02-16T00:00:00"/>
    <s v="C98096"/>
    <x v="6"/>
    <n v="2"/>
    <n v="317.77"/>
    <s v="838 Main St"/>
    <x v="0"/>
    <s v="Cancelled"/>
    <s v="TRK51518631"/>
    <n v="4"/>
    <s v="WINTER15"/>
    <s v="Facebook"/>
    <n v="635.54"/>
    <n v="635.54"/>
    <s v="Correct"/>
    <x v="2"/>
    <n v="2023"/>
    <s v="Q1"/>
    <s v="Desk"/>
  </r>
  <r>
    <s v="ORD200245"/>
    <d v="2025-04-20T00:00:00"/>
    <s v="C12667"/>
    <x v="5"/>
    <n v="1"/>
    <n v="223.3"/>
    <s v="306 Main St"/>
    <x v="1"/>
    <s v="Returned"/>
    <s v="TRK25390491"/>
    <n v="1"/>
    <s v="no coupoun"/>
    <s v="Facebook"/>
    <n v="223.3"/>
    <n v="223.3"/>
    <s v="Correct"/>
    <x v="6"/>
    <n v="2025"/>
    <s v="Q2"/>
    <s v="Laptop"/>
  </r>
  <r>
    <s v="ORD200246"/>
    <d v="2024-08-30T00:00:00"/>
    <s v="C55354"/>
    <x v="6"/>
    <n v="2"/>
    <n v="342.11"/>
    <s v="164 Main St"/>
    <x v="3"/>
    <s v="Shipped"/>
    <s v="TRK15439493"/>
    <n v="2"/>
    <s v="WINTER15"/>
    <s v="Instagram"/>
    <n v="684.22"/>
    <n v="684.22"/>
    <s v="Correct"/>
    <x v="1"/>
    <n v="2024"/>
    <s v="Q3"/>
    <s v="Desk"/>
  </r>
  <r>
    <s v="ORD200247"/>
    <d v="2023-07-20T00:00:00"/>
    <s v="C14600"/>
    <x v="4"/>
    <n v="2"/>
    <n v="220.9"/>
    <s v="785 Main St"/>
    <x v="3"/>
    <s v="Shipped"/>
    <s v="TRK84984764"/>
    <n v="4"/>
    <s v="no coupoun"/>
    <s v="Email"/>
    <n v="441.8"/>
    <n v="441.8"/>
    <s v="Correct"/>
    <x v="10"/>
    <n v="2023"/>
    <s v="Q3"/>
    <s v="Printer"/>
  </r>
  <r>
    <s v="ORD200248"/>
    <d v="2023-07-02T00:00:00"/>
    <s v="C97187"/>
    <x v="5"/>
    <n v="1"/>
    <n v="670.54"/>
    <s v="471 Main St"/>
    <x v="4"/>
    <s v="Shipped"/>
    <s v="TRK62283713"/>
    <n v="6"/>
    <s v="FREESHIP"/>
    <s v="Referral"/>
    <n v="670.54"/>
    <n v="670.54"/>
    <s v="Correct"/>
    <x v="10"/>
    <n v="2023"/>
    <s v="Q3"/>
    <s v="Laptop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s v="Referral"/>
    <n v="546.19000000000005"/>
    <n v="546.19000000000005"/>
    <s v="Correct"/>
    <x v="2"/>
    <n v="2024"/>
    <s v="Q1"/>
    <s v="Printer"/>
  </r>
  <r>
    <s v="ORD200250"/>
    <d v="2023-04-05T00:00:00"/>
    <s v="C93379"/>
    <x v="6"/>
    <n v="3"/>
    <n v="42.95"/>
    <s v="318 Main St"/>
    <x v="3"/>
    <s v="Returned"/>
    <s v="TRK67954150"/>
    <n v="8"/>
    <s v="SAVE10"/>
    <s v="Email"/>
    <n v="128.85"/>
    <n v="128.85000000000002"/>
    <s v="Correct"/>
    <x v="6"/>
    <n v="2023"/>
    <s v="Q2"/>
    <s v="Desk"/>
  </r>
  <r>
    <s v="ORD200251"/>
    <d v="2025-05-15T00:00:00"/>
    <s v="C93175"/>
    <x v="0"/>
    <n v="4"/>
    <n v="14.69"/>
    <s v="814 Main St"/>
    <x v="4"/>
    <s v="Cancelled"/>
    <s v="TRK32995144"/>
    <n v="9"/>
    <s v="no coupoun"/>
    <s v="Email"/>
    <n v="58.76"/>
    <n v="58.76"/>
    <s v="Correct"/>
    <x v="4"/>
    <n v="2025"/>
    <s v="Q2"/>
    <s v="Monitor"/>
  </r>
  <r>
    <s v="ORD200252"/>
    <d v="2024-09-20T00:00:00"/>
    <s v="C19648"/>
    <x v="1"/>
    <n v="4"/>
    <n v="668.36"/>
    <s v="821 Main St"/>
    <x v="3"/>
    <s v="Cancelled"/>
    <s v="TRK51297879"/>
    <n v="5"/>
    <s v="FREESHIP"/>
    <s v="Facebook"/>
    <n v="2673.44"/>
    <n v="2673.44"/>
    <s v="Correct"/>
    <x v="11"/>
    <n v="2024"/>
    <s v="Q3"/>
    <s v="Phone"/>
  </r>
  <r>
    <s v="ORD200253"/>
    <d v="2024-03-23T00:00:00"/>
    <s v="C14891"/>
    <x v="3"/>
    <n v="4"/>
    <n v="413.74"/>
    <s v="743 Main St"/>
    <x v="3"/>
    <s v="Returned"/>
    <s v="TRK79471534"/>
    <n v="7"/>
    <s v="FREESHIP"/>
    <s v="Instagram"/>
    <n v="1654.96"/>
    <n v="1654.96"/>
    <s v="Correct"/>
    <x v="9"/>
    <n v="2024"/>
    <s v="Q1"/>
    <s v="Chair"/>
  </r>
  <r>
    <s v="ORD200254"/>
    <d v="2023-12-26T00:00:00"/>
    <s v="C10866"/>
    <x v="0"/>
    <n v="3"/>
    <n v="263.19"/>
    <s v="770 Main St"/>
    <x v="1"/>
    <s v="Delivered"/>
    <s v="TRK34809583"/>
    <n v="5"/>
    <s v="no coupoun"/>
    <s v="Instagram"/>
    <n v="789.56999999999994"/>
    <n v="789.56999999999994"/>
    <s v="Correct"/>
    <x v="8"/>
    <n v="2023"/>
    <s v="Q4"/>
    <s v="Monitor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s v="Google"/>
    <n v="263.95999999999998"/>
    <n v="263.95999999999998"/>
    <s v="Correct"/>
    <x v="4"/>
    <n v="2024"/>
    <s v="Q2"/>
    <s v="Monitor"/>
  </r>
  <r>
    <s v="ORD200256"/>
    <d v="2025-06-30T00:00:00"/>
    <s v="C94323"/>
    <x v="3"/>
    <n v="5"/>
    <n v="75.81"/>
    <s v="463 Main St"/>
    <x v="3"/>
    <s v="Returned"/>
    <s v="TRK22663277"/>
    <n v="10"/>
    <s v="WINTER15"/>
    <s v="Instagram"/>
    <n v="379.05"/>
    <n v="379.05"/>
    <s v="Correct"/>
    <x v="5"/>
    <n v="2025"/>
    <s v="Q2"/>
    <s v="Chair"/>
  </r>
  <r>
    <s v="ORD200257"/>
    <d v="2024-04-23T00:00:00"/>
    <s v="C89732"/>
    <x v="1"/>
    <n v="1"/>
    <n v="406.22"/>
    <s v="712 Main St"/>
    <x v="2"/>
    <s v="Cancelled"/>
    <s v="TRK41059233"/>
    <n v="5"/>
    <s v="SAVE10"/>
    <s v="Referral"/>
    <n v="406.22"/>
    <n v="406.22"/>
    <s v="Correct"/>
    <x v="6"/>
    <n v="2024"/>
    <s v="Q2"/>
    <s v="Phone"/>
  </r>
  <r>
    <s v="ORD200258"/>
    <d v="2024-02-26T00:00:00"/>
    <s v="C87764"/>
    <x v="2"/>
    <n v="2"/>
    <n v="103.41"/>
    <s v="294 Main St"/>
    <x v="1"/>
    <s v="Shipped"/>
    <s v="TRK94082469"/>
    <n v="2"/>
    <s v="FREESHIP"/>
    <s v="Referral"/>
    <n v="206.82"/>
    <n v="206.82"/>
    <s v="Correct"/>
    <x v="2"/>
    <n v="2024"/>
    <s v="Q1"/>
    <s v="Tablet"/>
  </r>
  <r>
    <s v="ORD200259"/>
    <d v="2023-06-11T00:00:00"/>
    <s v="C20977"/>
    <x v="3"/>
    <n v="4"/>
    <n v="435.12"/>
    <s v="636 Main St"/>
    <x v="2"/>
    <s v="Delivered"/>
    <s v="TRK54991561"/>
    <n v="9"/>
    <s v="SAVE10"/>
    <s v="Instagram"/>
    <n v="1740.48"/>
    <n v="1740.48"/>
    <s v="Correct"/>
    <x v="5"/>
    <n v="2023"/>
    <s v="Q2"/>
    <s v="Chair"/>
  </r>
  <r>
    <s v="ORD200260"/>
    <d v="2023-05-17T00:00:00"/>
    <s v="C12245"/>
    <x v="0"/>
    <n v="2"/>
    <n v="407.79"/>
    <s v="153 Main St"/>
    <x v="0"/>
    <s v="Shipped"/>
    <s v="TRK22000463"/>
    <n v="3"/>
    <s v="no coupoun"/>
    <s v="Google"/>
    <n v="815.58"/>
    <n v="815.58"/>
    <s v="Correct"/>
    <x v="4"/>
    <n v="2023"/>
    <s v="Q2"/>
    <s v="Monitor"/>
  </r>
  <r>
    <s v="ORD200261"/>
    <d v="2025-05-28T00:00:00"/>
    <s v="C68976"/>
    <x v="1"/>
    <n v="5"/>
    <n v="173.65"/>
    <s v="460 Main St"/>
    <x v="3"/>
    <s v="Delivered"/>
    <s v="TRK25491356"/>
    <n v="9"/>
    <s v="SAVE10"/>
    <s v="Email"/>
    <n v="868.25"/>
    <n v="868.25"/>
    <s v="Correct"/>
    <x v="4"/>
    <n v="2025"/>
    <s v="Q2"/>
    <s v="Phone"/>
  </r>
  <r>
    <s v="ORD200262"/>
    <d v="2023-01-10T00:00:00"/>
    <s v="C69476"/>
    <x v="1"/>
    <n v="4"/>
    <n v="249.07"/>
    <s v="642 Main St"/>
    <x v="2"/>
    <s v="Returned"/>
    <s v="TRK65869386"/>
    <n v="5"/>
    <s v="WINTER15"/>
    <s v="Referral"/>
    <n v="996.28"/>
    <n v="996.28"/>
    <s v="Correct"/>
    <x v="0"/>
    <n v="2023"/>
    <s v="Q1"/>
    <s v="Phone"/>
  </r>
  <r>
    <s v="ORD200263"/>
    <d v="2023-03-25T00:00:00"/>
    <s v="C71040"/>
    <x v="1"/>
    <n v="4"/>
    <n v="434.85"/>
    <s v="250 Main St"/>
    <x v="2"/>
    <s v="Pending"/>
    <s v="TRK41397604"/>
    <n v="4"/>
    <s v="WINTER15"/>
    <s v="Google"/>
    <n v="1739.4"/>
    <n v="1739.4"/>
    <s v="Correct"/>
    <x v="9"/>
    <n v="2023"/>
    <s v="Q1"/>
    <s v="Phone"/>
  </r>
  <r>
    <s v="ORD200264"/>
    <d v="2024-08-03T00:00:00"/>
    <s v="C71035"/>
    <x v="2"/>
    <n v="1"/>
    <n v="436.77"/>
    <s v="977 Main St"/>
    <x v="4"/>
    <s v="Returned"/>
    <s v="TRK19599578"/>
    <n v="5"/>
    <s v="FREESHIP"/>
    <s v="Google"/>
    <n v="436.77"/>
    <n v="436.77"/>
    <s v="Correct"/>
    <x v="1"/>
    <n v="2024"/>
    <s v="Q3"/>
    <s v="Tablet"/>
  </r>
  <r>
    <s v="ORD200265"/>
    <d v="2023-12-22T00:00:00"/>
    <s v="C20752"/>
    <x v="4"/>
    <n v="1"/>
    <n v="572.13"/>
    <s v="150 Main St"/>
    <x v="0"/>
    <s v="Cancelled"/>
    <s v="TRK22298450"/>
    <n v="4"/>
    <s v="SAVE10"/>
    <s v="Google"/>
    <n v="572.13"/>
    <n v="572.13"/>
    <s v="Correct"/>
    <x v="8"/>
    <n v="2023"/>
    <s v="Q4"/>
    <s v="Printer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s v="Referral"/>
    <n v="2332.2800000000002"/>
    <n v="2332.2800000000002"/>
    <s v="Correct"/>
    <x v="5"/>
    <n v="2024"/>
    <s v="Q2"/>
    <s v="Chair"/>
  </r>
  <r>
    <s v="ORD200267"/>
    <d v="2025-04-17T00:00:00"/>
    <s v="C84480"/>
    <x v="3"/>
    <n v="5"/>
    <n v="468.51"/>
    <s v="803 Main St"/>
    <x v="0"/>
    <s v="Delivered"/>
    <s v="TRK62361867"/>
    <n v="9"/>
    <s v="no coupoun"/>
    <s v="Facebook"/>
    <n v="2342.5500000000002"/>
    <n v="2342.5500000000002"/>
    <s v="Correct"/>
    <x v="6"/>
    <n v="2025"/>
    <s v="Q2"/>
    <s v="Chair"/>
  </r>
  <r>
    <s v="ORD200268"/>
    <d v="2023-08-11T00:00:00"/>
    <s v="C37032"/>
    <x v="1"/>
    <n v="2"/>
    <n v="423.88"/>
    <s v="655 Main St"/>
    <x v="0"/>
    <s v="Delivered"/>
    <s v="TRK48639226"/>
    <n v="7"/>
    <s v="SAVE10"/>
    <s v="Referral"/>
    <n v="847.76"/>
    <n v="847.76"/>
    <s v="Correct"/>
    <x v="1"/>
    <n v="2023"/>
    <s v="Q3"/>
    <s v="Phone"/>
  </r>
  <r>
    <s v="ORD200269"/>
    <d v="2023-11-25T00:00:00"/>
    <s v="C48942"/>
    <x v="2"/>
    <n v="4"/>
    <n v="663.67"/>
    <s v="129 Main St"/>
    <x v="2"/>
    <s v="Pending"/>
    <s v="TRK29355120"/>
    <n v="7"/>
    <s v="FREESHIP"/>
    <s v="Google"/>
    <n v="2654.68"/>
    <n v="2654.68"/>
    <s v="Correct"/>
    <x v="7"/>
    <n v="2023"/>
    <s v="Q4"/>
    <s v="Tablet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s v="Google"/>
    <n v="1239.6400000000001"/>
    <n v="1239.6400000000001"/>
    <s v="Correct"/>
    <x v="5"/>
    <n v="2023"/>
    <s v="Q2"/>
    <s v="Printer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s v="Referral"/>
    <n v="542.07000000000005"/>
    <n v="542.07000000000005"/>
    <s v="Correct"/>
    <x v="9"/>
    <n v="2023"/>
    <s v="Q1"/>
    <s v="Monitor"/>
  </r>
  <r>
    <s v="ORD200272"/>
    <d v="2023-09-19T00:00:00"/>
    <s v="C29758"/>
    <x v="3"/>
    <n v="2"/>
    <n v="399.32"/>
    <s v="119 Main St"/>
    <x v="1"/>
    <s v="Pending"/>
    <s v="TRK12990043"/>
    <n v="6"/>
    <s v="WINTER15"/>
    <s v="Instagram"/>
    <n v="798.64"/>
    <n v="798.64"/>
    <s v="Correct"/>
    <x v="11"/>
    <n v="2023"/>
    <s v="Q3"/>
    <s v="Chair"/>
  </r>
  <r>
    <s v="ORD200273"/>
    <d v="2024-10-27T00:00:00"/>
    <s v="C11849"/>
    <x v="2"/>
    <n v="2"/>
    <n v="238.25"/>
    <s v="974 Main St"/>
    <x v="1"/>
    <s v="Cancelled"/>
    <s v="TRK91195261"/>
    <n v="7"/>
    <s v="FREESHIP"/>
    <s v="Email"/>
    <n v="476.5"/>
    <n v="476.5"/>
    <s v="Correct"/>
    <x v="3"/>
    <n v="2024"/>
    <s v="Q4"/>
    <s v="Tablet"/>
  </r>
  <r>
    <s v="ORD200274"/>
    <d v="2023-02-04T00:00:00"/>
    <s v="C50967"/>
    <x v="1"/>
    <n v="2"/>
    <n v="182.4"/>
    <s v="884 Main St"/>
    <x v="3"/>
    <s v="Cancelled"/>
    <s v="TRK65300814"/>
    <n v="5"/>
    <s v="SAVE10"/>
    <s v="Referral"/>
    <n v="364.8"/>
    <n v="364.8"/>
    <s v="Correct"/>
    <x v="2"/>
    <n v="2023"/>
    <s v="Q1"/>
    <s v="Phone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s v="Google"/>
    <n v="130.13999999999999"/>
    <n v="130.13999999999999"/>
    <s v="Correct"/>
    <x v="7"/>
    <n v="2023"/>
    <s v="Q4"/>
    <s v="Chair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s v="Instagram"/>
    <n v="1201.1400000000001"/>
    <n v="1201.1400000000001"/>
    <s v="Correct"/>
    <x v="9"/>
    <n v="2025"/>
    <s v="Q1"/>
    <s v="Printer"/>
  </r>
  <r>
    <s v="ORD200277"/>
    <d v="2024-09-09T00:00:00"/>
    <s v="C11210"/>
    <x v="3"/>
    <n v="5"/>
    <n v="90.92"/>
    <s v="910 Main St"/>
    <x v="2"/>
    <s v="Delivered"/>
    <s v="TRK44929965"/>
    <n v="9"/>
    <s v="SAVE10"/>
    <s v="Facebook"/>
    <n v="454.6"/>
    <n v="454.6"/>
    <s v="Correct"/>
    <x v="11"/>
    <n v="2024"/>
    <s v="Q3"/>
    <s v="Chair"/>
  </r>
  <r>
    <s v="ORD200278"/>
    <d v="2024-11-18T00:00:00"/>
    <s v="C46015"/>
    <x v="5"/>
    <n v="5"/>
    <n v="362.46"/>
    <s v="299 Main St"/>
    <x v="4"/>
    <s v="Delivered"/>
    <s v="TRK46598430"/>
    <n v="6"/>
    <s v="FREESHIP"/>
    <s v="Instagram"/>
    <n v="1812.3"/>
    <n v="1812.3"/>
    <s v="Correct"/>
    <x v="7"/>
    <n v="2024"/>
    <s v="Q4"/>
    <s v="Laptop"/>
  </r>
  <r>
    <s v="ORD200279"/>
    <d v="2023-10-20T00:00:00"/>
    <s v="C69167"/>
    <x v="3"/>
    <n v="3"/>
    <n v="55.01"/>
    <s v="263 Main St"/>
    <x v="1"/>
    <s v="Pending"/>
    <s v="TRK12425655"/>
    <n v="7"/>
    <s v="WINTER15"/>
    <s v="Email"/>
    <n v="165.03"/>
    <n v="165.03"/>
    <s v="Correct"/>
    <x v="3"/>
    <n v="2023"/>
    <s v="Q4"/>
    <s v="Chair"/>
  </r>
  <r>
    <s v="ORD200280"/>
    <d v="2023-03-27T00:00:00"/>
    <s v="C55388"/>
    <x v="2"/>
    <n v="3"/>
    <n v="404.62"/>
    <s v="740 Main St"/>
    <x v="3"/>
    <s v="Delivered"/>
    <s v="TRK75741001"/>
    <n v="6"/>
    <s v="FREESHIP"/>
    <s v="Instagram"/>
    <n v="1213.8599999999999"/>
    <n v="1213.8600000000001"/>
    <s v="Correct"/>
    <x v="9"/>
    <n v="2023"/>
    <s v="Q1"/>
    <s v="Tablet"/>
  </r>
  <r>
    <s v="ORD200281"/>
    <d v="2023-07-27T00:00:00"/>
    <s v="C87181"/>
    <x v="6"/>
    <n v="4"/>
    <n v="654.79"/>
    <s v="195 Main St"/>
    <x v="4"/>
    <s v="Pending"/>
    <s v="TRK60093390"/>
    <n v="9"/>
    <s v="no coupoun"/>
    <s v="Referral"/>
    <n v="2619.16"/>
    <n v="2619.16"/>
    <s v="Correct"/>
    <x v="10"/>
    <n v="2023"/>
    <s v="Q3"/>
    <s v="Desk"/>
  </r>
  <r>
    <s v="ORD200282"/>
    <d v="2025-04-22T00:00:00"/>
    <s v="C30411"/>
    <x v="4"/>
    <n v="4"/>
    <n v="637.79"/>
    <s v="375 Main St"/>
    <x v="3"/>
    <s v="Cancelled"/>
    <s v="TRK71810536"/>
    <n v="9"/>
    <s v="FREESHIP"/>
    <s v="Google"/>
    <n v="2551.16"/>
    <n v="2551.16"/>
    <s v="Correct"/>
    <x v="6"/>
    <n v="2025"/>
    <s v="Q2"/>
    <s v="Printer"/>
  </r>
  <r>
    <s v="ORD200283"/>
    <d v="2025-02-28T00:00:00"/>
    <s v="C39638"/>
    <x v="5"/>
    <n v="4"/>
    <n v="540.33000000000004"/>
    <s v="990 Main St"/>
    <x v="4"/>
    <s v="Shipped"/>
    <s v="TRK69745608"/>
    <n v="6"/>
    <s v="no coupoun"/>
    <s v="Google"/>
    <n v="2161.3200000000002"/>
    <n v="2161.3200000000002"/>
    <s v="Correct"/>
    <x v="2"/>
    <n v="2025"/>
    <s v="Q1"/>
    <s v="Laptop"/>
  </r>
  <r>
    <s v="ORD200284"/>
    <d v="2023-02-16T00:00:00"/>
    <s v="C27203"/>
    <x v="5"/>
    <n v="5"/>
    <n v="208.17"/>
    <s v="516 Main St"/>
    <x v="2"/>
    <s v="Returned"/>
    <s v="TRK22023906"/>
    <n v="6"/>
    <s v="SAVE10"/>
    <s v="Facebook"/>
    <n v="1040.8499999999999"/>
    <n v="1040.8499999999999"/>
    <s v="Correct"/>
    <x v="2"/>
    <n v="2023"/>
    <s v="Q1"/>
    <s v="Laptop"/>
  </r>
  <r>
    <s v="ORD200285"/>
    <d v="2025-06-10T00:00:00"/>
    <s v="C67583"/>
    <x v="1"/>
    <n v="1"/>
    <n v="338.31"/>
    <s v="974 Main St"/>
    <x v="1"/>
    <s v="Delivered"/>
    <s v="TRK93281700"/>
    <n v="3"/>
    <s v="no coupoun"/>
    <s v="Google"/>
    <n v="338.31"/>
    <n v="338.31"/>
    <s v="Correct"/>
    <x v="5"/>
    <n v="2025"/>
    <s v="Q2"/>
    <s v="Phone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s v="Google"/>
    <n v="418.35"/>
    <n v="418.34999999999997"/>
    <s v="Correct"/>
    <x v="6"/>
    <n v="2025"/>
    <s v="Q2"/>
    <s v="Monitor"/>
  </r>
  <r>
    <s v="ORD200287"/>
    <d v="2023-11-24T00:00:00"/>
    <s v="C70437"/>
    <x v="3"/>
    <n v="4"/>
    <n v="655.17999999999995"/>
    <s v="630 Main St"/>
    <x v="1"/>
    <s v="Shipped"/>
    <s v="TRK26628830"/>
    <n v="5"/>
    <s v="no coupoun"/>
    <s v="Facebook"/>
    <n v="2620.7199999999998"/>
    <n v="2620.7199999999998"/>
    <s v="Correct"/>
    <x v="7"/>
    <n v="2023"/>
    <s v="Q4"/>
    <s v="Chair"/>
  </r>
  <r>
    <s v="ORD200288"/>
    <d v="2023-03-12T00:00:00"/>
    <s v="C97643"/>
    <x v="5"/>
    <n v="4"/>
    <n v="512.75"/>
    <s v="537 Main St"/>
    <x v="0"/>
    <s v="Returned"/>
    <s v="TRK60831391"/>
    <n v="8"/>
    <s v="WINTER15"/>
    <s v="Google"/>
    <n v="2051"/>
    <n v="2051"/>
    <s v="Correct"/>
    <x v="9"/>
    <n v="2023"/>
    <s v="Q1"/>
    <s v="Laptop"/>
  </r>
  <r>
    <s v="ORD200289"/>
    <d v="2023-07-26T00:00:00"/>
    <s v="C17136"/>
    <x v="3"/>
    <n v="4"/>
    <n v="160.49"/>
    <s v="333 Main St"/>
    <x v="2"/>
    <s v="Shipped"/>
    <s v="TRK55362541"/>
    <n v="8"/>
    <s v="WINTER15"/>
    <s v="Referral"/>
    <n v="641.96"/>
    <n v="641.96"/>
    <s v="Correct"/>
    <x v="10"/>
    <n v="2023"/>
    <s v="Q3"/>
    <s v="Chair"/>
  </r>
  <r>
    <s v="ORD200290"/>
    <d v="2023-05-05T00:00:00"/>
    <s v="C24901"/>
    <x v="3"/>
    <n v="3"/>
    <n v="99.9"/>
    <s v="258 Main St"/>
    <x v="4"/>
    <s v="Delivered"/>
    <s v="TRK14029489"/>
    <n v="8"/>
    <s v="FREESHIP"/>
    <s v="Facebook"/>
    <n v="299.7"/>
    <n v="299.70000000000005"/>
    <s v="Correct"/>
    <x v="4"/>
    <n v="2023"/>
    <s v="Q2"/>
    <s v="Chair"/>
  </r>
  <r>
    <s v="ORD200291"/>
    <d v="2024-05-12T00:00:00"/>
    <s v="C61521"/>
    <x v="1"/>
    <n v="2"/>
    <n v="345.01"/>
    <s v="670 Main St"/>
    <x v="2"/>
    <s v="Delivered"/>
    <s v="TRK93676567"/>
    <n v="6"/>
    <s v="FREESHIP"/>
    <s v="Google"/>
    <n v="690.02"/>
    <n v="690.02"/>
    <s v="Correct"/>
    <x v="4"/>
    <n v="2024"/>
    <s v="Q2"/>
    <s v="Phone"/>
  </r>
  <r>
    <s v="ORD200292"/>
    <d v="2025-01-15T00:00:00"/>
    <s v="C39639"/>
    <x v="0"/>
    <n v="1"/>
    <n v="65.95"/>
    <s v="185 Main St"/>
    <x v="2"/>
    <s v="Delivered"/>
    <s v="TRK31042152"/>
    <n v="5"/>
    <s v="no coupoun"/>
    <s v="Facebook"/>
    <n v="65.95"/>
    <n v="65.95"/>
    <s v="Correct"/>
    <x v="0"/>
    <n v="2025"/>
    <s v="Q1"/>
    <s v="Monitor"/>
  </r>
  <r>
    <s v="ORD200293"/>
    <d v="2023-02-16T00:00:00"/>
    <s v="C33220"/>
    <x v="2"/>
    <n v="4"/>
    <n v="463.04"/>
    <s v="564 Main St"/>
    <x v="3"/>
    <s v="Returned"/>
    <s v="TRK40450219"/>
    <n v="9"/>
    <s v="no coupoun"/>
    <s v="Instagram"/>
    <n v="1852.16"/>
    <n v="1852.16"/>
    <s v="Correct"/>
    <x v="2"/>
    <n v="2023"/>
    <s v="Q1"/>
    <s v="Tablet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s v="Referral"/>
    <n v="595.41999999999996"/>
    <n v="595.41999999999996"/>
    <s v="Correct"/>
    <x v="6"/>
    <n v="2025"/>
    <s v="Q2"/>
    <s v="Phone"/>
  </r>
  <r>
    <s v="ORD200295"/>
    <d v="2023-01-25T00:00:00"/>
    <s v="C49009"/>
    <x v="4"/>
    <n v="5"/>
    <n v="107.48"/>
    <s v="278 Main St"/>
    <x v="0"/>
    <s v="Cancelled"/>
    <s v="TRK46285799"/>
    <n v="9"/>
    <s v="FREESHIP"/>
    <s v="Email"/>
    <n v="537.4"/>
    <n v="537.4"/>
    <s v="Correct"/>
    <x v="0"/>
    <n v="2023"/>
    <s v="Q1"/>
    <s v="Printer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s v="Referral"/>
    <n v="3194"/>
    <n v="3194"/>
    <s v="Correct"/>
    <x v="5"/>
    <n v="2024"/>
    <s v="Q2"/>
    <s v="Desk"/>
  </r>
  <r>
    <s v="ORD200297"/>
    <d v="2023-02-22T00:00:00"/>
    <s v="C68078"/>
    <x v="6"/>
    <n v="2"/>
    <n v="493.88"/>
    <s v="252 Main St"/>
    <x v="2"/>
    <s v="Returned"/>
    <s v="TRK64862812"/>
    <n v="7"/>
    <s v="SAVE10"/>
    <s v="Instagram"/>
    <n v="987.76"/>
    <n v="987.76"/>
    <s v="Correct"/>
    <x v="2"/>
    <n v="2023"/>
    <s v="Q1"/>
    <s v="Desk"/>
  </r>
  <r>
    <s v="ORD200298"/>
    <d v="2023-12-19T00:00:00"/>
    <s v="C19402"/>
    <x v="4"/>
    <n v="4"/>
    <n v="301.17"/>
    <s v="267 Main St"/>
    <x v="1"/>
    <s v="Cancelled"/>
    <s v="TRK97825212"/>
    <n v="6"/>
    <s v="no coupoun"/>
    <s v="Email"/>
    <n v="1204.68"/>
    <n v="1204.68"/>
    <s v="Correct"/>
    <x v="8"/>
    <n v="2023"/>
    <s v="Q4"/>
    <s v="Printer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s v="Instagram"/>
    <n v="278.66000000000003"/>
    <n v="278.66000000000003"/>
    <s v="Correct"/>
    <x v="0"/>
    <n v="2024"/>
    <s v="Q1"/>
    <s v="Monitor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s v="Facebook"/>
    <n v="287.45999999999998"/>
    <n v="287.45999999999998"/>
    <s v="Correct"/>
    <x v="11"/>
    <n v="2024"/>
    <s v="Q3"/>
    <s v="Phone"/>
  </r>
  <r>
    <s v="ORD200301"/>
    <d v="2023-05-11T00:00:00"/>
    <s v="C31105"/>
    <x v="3"/>
    <n v="1"/>
    <n v="583.99"/>
    <s v="726 Main St"/>
    <x v="4"/>
    <s v="Cancelled"/>
    <s v="TRK40149095"/>
    <n v="2"/>
    <s v="SAVE10"/>
    <s v="Email"/>
    <n v="583.99"/>
    <n v="583.99"/>
    <s v="Correct"/>
    <x v="4"/>
    <n v="2023"/>
    <s v="Q2"/>
    <s v="Chair"/>
  </r>
  <r>
    <s v="ORD200302"/>
    <d v="2023-05-16T00:00:00"/>
    <s v="C29432"/>
    <x v="3"/>
    <n v="3"/>
    <n v="468.74"/>
    <s v="121 Main St"/>
    <x v="4"/>
    <s v="Pending"/>
    <s v="TRK44142517"/>
    <n v="4"/>
    <s v="FREESHIP"/>
    <s v="Instagram"/>
    <n v="1406.22"/>
    <n v="1406.22"/>
    <s v="Correct"/>
    <x v="4"/>
    <n v="2023"/>
    <s v="Q2"/>
    <s v="Chair"/>
  </r>
  <r>
    <s v="ORD200303"/>
    <d v="2024-12-07T00:00:00"/>
    <s v="C48531"/>
    <x v="2"/>
    <n v="1"/>
    <n v="30.54"/>
    <s v="368 Main St"/>
    <x v="0"/>
    <s v="Returned"/>
    <s v="TRK95462192"/>
    <n v="1"/>
    <s v="no coupoun"/>
    <s v="Google"/>
    <n v="30.54"/>
    <n v="30.54"/>
    <s v="Correct"/>
    <x v="8"/>
    <n v="2024"/>
    <s v="Q4"/>
    <s v="Tablet"/>
  </r>
  <r>
    <s v="ORD200304"/>
    <d v="2024-10-18T00:00:00"/>
    <s v="C86762"/>
    <x v="0"/>
    <n v="5"/>
    <n v="408.73"/>
    <s v="326 Main St"/>
    <x v="3"/>
    <s v="Delivered"/>
    <s v="TRK75686292"/>
    <n v="10"/>
    <s v="FREESHIP"/>
    <s v="Instagram"/>
    <n v="2043.65"/>
    <n v="2043.65"/>
    <s v="Correct"/>
    <x v="3"/>
    <n v="2024"/>
    <s v="Q4"/>
    <s v="Monitor"/>
  </r>
  <r>
    <s v="ORD200305"/>
    <d v="2023-11-25T00:00:00"/>
    <s v="C63822"/>
    <x v="5"/>
    <n v="4"/>
    <n v="126.89"/>
    <s v="235 Main St"/>
    <x v="4"/>
    <s v="Pending"/>
    <s v="TRK59353216"/>
    <n v="9"/>
    <s v="FREESHIP"/>
    <s v="Instagram"/>
    <n v="507.56"/>
    <n v="507.56"/>
    <s v="Correct"/>
    <x v="7"/>
    <n v="2023"/>
    <s v="Q4"/>
    <s v="Laptop"/>
  </r>
  <r>
    <s v="ORD200306"/>
    <d v="2024-06-07T00:00:00"/>
    <s v="C70495"/>
    <x v="4"/>
    <n v="2"/>
    <n v="57.07"/>
    <s v="238 Main St"/>
    <x v="0"/>
    <s v="Returned"/>
    <s v="TRK65511225"/>
    <n v="3"/>
    <s v="SAVE10"/>
    <s v="Instagram"/>
    <n v="114.14"/>
    <n v="114.14"/>
    <s v="Correct"/>
    <x v="5"/>
    <n v="2024"/>
    <s v="Q2"/>
    <s v="Printer"/>
  </r>
  <r>
    <s v="ORD200307"/>
    <d v="2023-07-01T00:00:00"/>
    <s v="C92407"/>
    <x v="5"/>
    <n v="3"/>
    <n v="557.41"/>
    <s v="135 Main St"/>
    <x v="1"/>
    <s v="Delivered"/>
    <s v="TRK11755610"/>
    <n v="4"/>
    <s v="no coupoun"/>
    <s v="Email"/>
    <n v="1672.23"/>
    <n v="1672.23"/>
    <s v="Correct"/>
    <x v="10"/>
    <n v="2023"/>
    <s v="Q3"/>
    <s v="Laptop"/>
  </r>
  <r>
    <s v="ORD200308"/>
    <d v="2023-12-11T00:00:00"/>
    <s v="C75888"/>
    <x v="4"/>
    <n v="3"/>
    <n v="448.9"/>
    <s v="790 Main St"/>
    <x v="0"/>
    <s v="Returned"/>
    <s v="TRK98467398"/>
    <n v="7"/>
    <s v="SAVE10"/>
    <s v="Instagram"/>
    <n v="1346.7"/>
    <n v="1346.6999999999998"/>
    <s v="Correct"/>
    <x v="8"/>
    <n v="2023"/>
    <s v="Q4"/>
    <s v="Printer"/>
  </r>
  <r>
    <s v="ORD200309"/>
    <d v="2023-10-03T00:00:00"/>
    <s v="C63153"/>
    <x v="3"/>
    <n v="4"/>
    <n v="549.76"/>
    <s v="625 Main St"/>
    <x v="0"/>
    <s v="Delivered"/>
    <s v="TRK38033305"/>
    <n v="4"/>
    <s v="FREESHIP"/>
    <s v="Facebook"/>
    <n v="2199.04"/>
    <n v="2199.04"/>
    <s v="Correct"/>
    <x v="3"/>
    <n v="2023"/>
    <s v="Q4"/>
    <s v="Chair"/>
  </r>
  <r>
    <s v="ORD200310"/>
    <d v="2024-02-24T00:00:00"/>
    <s v="C85863"/>
    <x v="4"/>
    <n v="3"/>
    <n v="132.47999999999999"/>
    <s v="968 Main St"/>
    <x v="1"/>
    <s v="Shipped"/>
    <s v="TRK16094218"/>
    <n v="4"/>
    <s v="no coupoun"/>
    <s v="Referral"/>
    <n v="397.43999999999988"/>
    <n v="397.43999999999994"/>
    <s v="Correct"/>
    <x v="2"/>
    <n v="2024"/>
    <s v="Q1"/>
    <s v="Printer"/>
  </r>
  <r>
    <s v="ORD200311"/>
    <d v="2025-05-17T00:00:00"/>
    <s v="C71698"/>
    <x v="6"/>
    <n v="5"/>
    <n v="489.37"/>
    <s v="274 Main St"/>
    <x v="1"/>
    <s v="Returned"/>
    <s v="TRK34786818"/>
    <n v="8"/>
    <s v="no coupoun"/>
    <s v="Instagram"/>
    <n v="2446.85"/>
    <n v="2446.85"/>
    <s v="Correct"/>
    <x v="4"/>
    <n v="2025"/>
    <s v="Q2"/>
    <s v="Desk"/>
  </r>
  <r>
    <s v="ORD200312"/>
    <d v="2025-05-24T00:00:00"/>
    <s v="C35397"/>
    <x v="4"/>
    <n v="5"/>
    <n v="66.31"/>
    <s v="579 Main St"/>
    <x v="3"/>
    <s v="Pending"/>
    <s v="TRK64742535"/>
    <n v="7"/>
    <s v="FREESHIP"/>
    <s v="Referral"/>
    <n v="331.55"/>
    <n v="331.55"/>
    <s v="Correct"/>
    <x v="4"/>
    <n v="2025"/>
    <s v="Q2"/>
    <s v="Printer"/>
  </r>
  <r>
    <s v="ORD200313"/>
    <d v="2023-07-09T00:00:00"/>
    <s v="C67687"/>
    <x v="3"/>
    <n v="2"/>
    <n v="434.3"/>
    <s v="978 Main St"/>
    <x v="4"/>
    <s v="Delivered"/>
    <s v="TRK22838735"/>
    <n v="7"/>
    <s v="SAVE10"/>
    <s v="Instagram"/>
    <n v="868.6"/>
    <n v="868.6"/>
    <s v="Correct"/>
    <x v="10"/>
    <n v="2023"/>
    <s v="Q3"/>
    <s v="Chair"/>
  </r>
  <r>
    <s v="ORD200314"/>
    <d v="2023-10-04T00:00:00"/>
    <s v="C29931"/>
    <x v="6"/>
    <n v="4"/>
    <n v="153.09"/>
    <s v="540 Main St"/>
    <x v="1"/>
    <s v="Delivered"/>
    <s v="TRK48712417"/>
    <n v="4"/>
    <s v="FREESHIP"/>
    <s v="Referral"/>
    <n v="612.36"/>
    <n v="612.36"/>
    <s v="Correct"/>
    <x v="3"/>
    <n v="2023"/>
    <s v="Q4"/>
    <s v="Desk"/>
  </r>
  <r>
    <s v="ORD200315"/>
    <d v="2025-05-12T00:00:00"/>
    <s v="C59139"/>
    <x v="2"/>
    <n v="5"/>
    <n v="91.67"/>
    <s v="301 Main St"/>
    <x v="1"/>
    <s v="Cancelled"/>
    <s v="TRK45507090"/>
    <n v="9"/>
    <s v="FREESHIP"/>
    <s v="Email"/>
    <n v="458.35"/>
    <n v="458.35"/>
    <s v="Correct"/>
    <x v="4"/>
    <n v="2025"/>
    <s v="Q2"/>
    <s v="Tablet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s v="Facebook"/>
    <n v="1101.1199999999999"/>
    <n v="1101.1199999999999"/>
    <s v="Correct"/>
    <x v="3"/>
    <n v="2023"/>
    <s v="Q4"/>
    <s v="Desk"/>
  </r>
  <r>
    <s v="ORD200317"/>
    <d v="2023-04-10T00:00:00"/>
    <s v="C88370"/>
    <x v="0"/>
    <n v="2"/>
    <n v="139.94999999999999"/>
    <s v="339 Main St"/>
    <x v="1"/>
    <s v="Returned"/>
    <s v="TRK22575151"/>
    <n v="5"/>
    <s v="no coupoun"/>
    <s v="Instagram"/>
    <n v="279.89999999999998"/>
    <n v="279.89999999999998"/>
    <s v="Correct"/>
    <x v="6"/>
    <n v="2023"/>
    <s v="Q2"/>
    <s v="Monitor"/>
  </r>
  <r>
    <s v="ORD200318"/>
    <d v="2024-07-27T00:00:00"/>
    <s v="C93375"/>
    <x v="3"/>
    <n v="3"/>
    <n v="148.72"/>
    <s v="317 Main St"/>
    <x v="0"/>
    <s v="Cancelled"/>
    <s v="TRK95706967"/>
    <n v="7"/>
    <s v="SAVE10"/>
    <s v="Google"/>
    <n v="446.16"/>
    <n v="446.15999999999997"/>
    <s v="Correct"/>
    <x v="10"/>
    <n v="2024"/>
    <s v="Q3"/>
    <s v="Chair"/>
  </r>
  <r>
    <s v="ORD200319"/>
    <d v="2023-12-02T00:00:00"/>
    <s v="C53049"/>
    <x v="5"/>
    <n v="2"/>
    <n v="563.05999999999995"/>
    <s v="413 Main St"/>
    <x v="4"/>
    <s v="Returned"/>
    <s v="TRK48974907"/>
    <n v="6"/>
    <s v="no coupoun"/>
    <s v="Instagram"/>
    <n v="1126.1199999999999"/>
    <n v="1126.1199999999999"/>
    <s v="Correct"/>
    <x v="8"/>
    <n v="2023"/>
    <s v="Q4"/>
    <s v="Laptop"/>
  </r>
  <r>
    <s v="ORD200320"/>
    <d v="2024-12-19T00:00:00"/>
    <s v="C55590"/>
    <x v="4"/>
    <n v="1"/>
    <n v="625.51"/>
    <s v="772 Main St"/>
    <x v="2"/>
    <s v="Shipped"/>
    <s v="TRK48792951"/>
    <n v="1"/>
    <s v="FREESHIP"/>
    <s v="Facebook"/>
    <n v="625.51"/>
    <n v="625.51"/>
    <s v="Correct"/>
    <x v="8"/>
    <n v="2024"/>
    <s v="Q4"/>
    <s v="Printer"/>
  </r>
  <r>
    <s v="ORD200321"/>
    <d v="2023-08-09T00:00:00"/>
    <s v="C47086"/>
    <x v="1"/>
    <n v="4"/>
    <n v="152.29"/>
    <s v="135 Main St"/>
    <x v="0"/>
    <s v="Cancelled"/>
    <s v="TRK44194358"/>
    <n v="6"/>
    <s v="WINTER15"/>
    <s v="Google"/>
    <n v="609.16"/>
    <n v="609.16"/>
    <s v="Correct"/>
    <x v="1"/>
    <n v="2023"/>
    <s v="Q3"/>
    <s v="Phone"/>
  </r>
  <r>
    <s v="ORD200322"/>
    <d v="2024-06-14T00:00:00"/>
    <s v="C48646"/>
    <x v="1"/>
    <n v="5"/>
    <n v="231.82"/>
    <s v="339 Main St"/>
    <x v="0"/>
    <s v="Delivered"/>
    <s v="TRK18233748"/>
    <n v="6"/>
    <s v="SAVE10"/>
    <s v="Facebook"/>
    <n v="1159.0999999999999"/>
    <n v="1159.0999999999999"/>
    <s v="Correct"/>
    <x v="5"/>
    <n v="2024"/>
    <s v="Q2"/>
    <s v="Phone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s v="Referral"/>
    <n v="150.16999999999999"/>
    <n v="150.16999999999999"/>
    <s v="Correct"/>
    <x v="0"/>
    <n v="2025"/>
    <s v="Q1"/>
    <s v="Laptop"/>
  </r>
  <r>
    <s v="ORD200324"/>
    <d v="2024-06-13T00:00:00"/>
    <s v="C13525"/>
    <x v="2"/>
    <n v="3"/>
    <n v="70.930000000000007"/>
    <s v="847 Main St"/>
    <x v="0"/>
    <s v="Returned"/>
    <s v="TRK70193221"/>
    <n v="5"/>
    <s v="no coupoun"/>
    <s v="Referral"/>
    <n v="212.79"/>
    <n v="212.79000000000002"/>
    <s v="Correct"/>
    <x v="5"/>
    <n v="2024"/>
    <s v="Q2"/>
    <s v="Tablet"/>
  </r>
  <r>
    <s v="ORD200325"/>
    <d v="2023-06-29T00:00:00"/>
    <s v="C53545"/>
    <x v="6"/>
    <n v="3"/>
    <n v="361.39"/>
    <s v="665 Main St"/>
    <x v="2"/>
    <s v="Shipped"/>
    <s v="TRK61123177"/>
    <n v="8"/>
    <s v="no coupoun"/>
    <s v="Referral"/>
    <n v="1084.17"/>
    <n v="1084.17"/>
    <s v="Correct"/>
    <x v="5"/>
    <n v="2023"/>
    <s v="Q2"/>
    <s v="Desk"/>
  </r>
  <r>
    <s v="ORD200326"/>
    <d v="2024-07-01T00:00:00"/>
    <s v="C65986"/>
    <x v="5"/>
    <n v="5"/>
    <n v="670.48"/>
    <s v="273 Main St"/>
    <x v="3"/>
    <s v="Returned"/>
    <s v="TRK98353867"/>
    <n v="5"/>
    <s v="SAVE10"/>
    <s v="Facebook"/>
    <n v="3352.4"/>
    <n v="3352.4"/>
    <s v="Correct"/>
    <x v="10"/>
    <n v="2024"/>
    <s v="Q3"/>
    <s v="Laptop"/>
  </r>
  <r>
    <s v="ORD200327"/>
    <d v="2023-07-25T00:00:00"/>
    <s v="C17302"/>
    <x v="1"/>
    <n v="1"/>
    <n v="359.99"/>
    <s v="385 Main St"/>
    <x v="3"/>
    <s v="Cancelled"/>
    <s v="TRK43940016"/>
    <n v="5"/>
    <s v="SAVE10"/>
    <s v="Email"/>
    <n v="359.99"/>
    <n v="359.99"/>
    <s v="Correct"/>
    <x v="10"/>
    <n v="2023"/>
    <s v="Q3"/>
    <s v="Phone"/>
  </r>
  <r>
    <s v="ORD200328"/>
    <d v="2023-02-28T00:00:00"/>
    <s v="C18404"/>
    <x v="2"/>
    <n v="5"/>
    <n v="674.04"/>
    <s v="546 Main St"/>
    <x v="1"/>
    <s v="Cancelled"/>
    <s v="TRK89401624"/>
    <n v="7"/>
    <s v="SAVE10"/>
    <s v="Google"/>
    <n v="3370.2"/>
    <n v="3370.2"/>
    <s v="Correct"/>
    <x v="2"/>
    <n v="2023"/>
    <s v="Q1"/>
    <s v="Tablet"/>
  </r>
  <r>
    <s v="ORD200329"/>
    <d v="2024-12-25T00:00:00"/>
    <s v="C88371"/>
    <x v="3"/>
    <n v="4"/>
    <n v="283.16000000000003"/>
    <s v="306 Main St"/>
    <x v="2"/>
    <s v="Shipped"/>
    <s v="TRK63224811"/>
    <n v="6"/>
    <s v="no coupoun"/>
    <s v="Google"/>
    <n v="1132.6400000000001"/>
    <n v="1132.6400000000001"/>
    <s v="Correct"/>
    <x v="8"/>
    <n v="2024"/>
    <s v="Q4"/>
    <s v="Chair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s v="Instagram"/>
    <n v="1302.6500000000001"/>
    <n v="1302.6499999999999"/>
    <s v="Correct"/>
    <x v="5"/>
    <n v="2024"/>
    <s v="Q2"/>
    <s v="Desk"/>
  </r>
  <r>
    <s v="ORD200331"/>
    <d v="2023-04-15T00:00:00"/>
    <s v="C78724"/>
    <x v="4"/>
    <n v="3"/>
    <n v="422.13"/>
    <s v="187 Main St"/>
    <x v="1"/>
    <s v="Delivered"/>
    <s v="TRK25703134"/>
    <n v="7"/>
    <s v="SAVE10"/>
    <s v="Facebook"/>
    <n v="1266.3900000000001"/>
    <n v="1266.3899999999999"/>
    <s v="Correct"/>
    <x v="6"/>
    <n v="2023"/>
    <s v="Q2"/>
    <s v="Printer"/>
  </r>
  <r>
    <s v="ORD200332"/>
    <d v="2024-07-03T00:00:00"/>
    <s v="C26163"/>
    <x v="6"/>
    <n v="5"/>
    <n v="125.02"/>
    <s v="607 Main St"/>
    <x v="0"/>
    <s v="Pending"/>
    <s v="TRK67499316"/>
    <n v="9"/>
    <s v="SAVE10"/>
    <s v="Google"/>
    <n v="625.1"/>
    <n v="625.1"/>
    <s v="Correct"/>
    <x v="10"/>
    <n v="2024"/>
    <s v="Q3"/>
    <s v="Desk"/>
  </r>
  <r>
    <s v="ORD200333"/>
    <d v="2024-04-16T00:00:00"/>
    <s v="C87124"/>
    <x v="1"/>
    <n v="1"/>
    <n v="198.51"/>
    <s v="818 Main St"/>
    <x v="2"/>
    <s v="Returned"/>
    <s v="TRK52086740"/>
    <n v="5"/>
    <s v="WINTER15"/>
    <s v="Instagram"/>
    <n v="198.51"/>
    <n v="198.51"/>
    <s v="Correct"/>
    <x v="6"/>
    <n v="2024"/>
    <s v="Q2"/>
    <s v="Phone"/>
  </r>
  <r>
    <s v="ORD200334"/>
    <d v="2024-03-26T00:00:00"/>
    <s v="C90348"/>
    <x v="3"/>
    <n v="4"/>
    <n v="224.75"/>
    <s v="728 Main St"/>
    <x v="1"/>
    <s v="Delivered"/>
    <s v="TRK20635777"/>
    <n v="7"/>
    <s v="WINTER15"/>
    <s v="Facebook"/>
    <n v="899"/>
    <n v="899"/>
    <s v="Correct"/>
    <x v="9"/>
    <n v="2024"/>
    <s v="Q1"/>
    <s v="Chair"/>
  </r>
  <r>
    <s v="ORD200335"/>
    <d v="2025-03-03T00:00:00"/>
    <s v="C58721"/>
    <x v="2"/>
    <n v="3"/>
    <n v="205.86"/>
    <s v="978 Main St"/>
    <x v="3"/>
    <s v="Shipped"/>
    <s v="TRK34801199"/>
    <n v="4"/>
    <s v="no coupoun"/>
    <s v="Email"/>
    <n v="617.58000000000004"/>
    <n v="617.58000000000004"/>
    <s v="Correct"/>
    <x v="9"/>
    <n v="2025"/>
    <s v="Q1"/>
    <s v="Tablet"/>
  </r>
  <r>
    <s v="ORD200336"/>
    <d v="2023-12-29T00:00:00"/>
    <s v="C88174"/>
    <x v="5"/>
    <n v="1"/>
    <n v="18.2"/>
    <s v="441 Main St"/>
    <x v="0"/>
    <s v="Pending"/>
    <s v="TRK10143345"/>
    <n v="4"/>
    <s v="SAVE10"/>
    <s v="Instagram"/>
    <n v="18.2"/>
    <n v="18.2"/>
    <s v="Correct"/>
    <x v="8"/>
    <n v="2023"/>
    <s v="Q4"/>
    <s v="Laptop"/>
  </r>
  <r>
    <s v="ORD200337"/>
    <d v="2023-05-29T00:00:00"/>
    <s v="C77763"/>
    <x v="2"/>
    <n v="3"/>
    <n v="502.77"/>
    <s v="599 Main St"/>
    <x v="0"/>
    <s v="Returned"/>
    <s v="TRK66980447"/>
    <n v="8"/>
    <s v="WINTER15"/>
    <s v="Email"/>
    <n v="1508.31"/>
    <n v="1508.31"/>
    <s v="Correct"/>
    <x v="4"/>
    <n v="2023"/>
    <s v="Q2"/>
    <s v="Tablet"/>
  </r>
  <r>
    <s v="ORD200338"/>
    <d v="2023-11-08T00:00:00"/>
    <s v="C53627"/>
    <x v="1"/>
    <n v="5"/>
    <n v="305.49"/>
    <s v="704 Main St"/>
    <x v="0"/>
    <s v="Shipped"/>
    <s v="TRK64112352"/>
    <n v="10"/>
    <s v="no coupoun"/>
    <s v="Referral"/>
    <n v="1527.45"/>
    <n v="1527.45"/>
    <s v="Correct"/>
    <x v="7"/>
    <n v="2023"/>
    <s v="Q4"/>
    <s v="Phone"/>
  </r>
  <r>
    <s v="ORD200339"/>
    <d v="2024-04-10T00:00:00"/>
    <s v="C84563"/>
    <x v="4"/>
    <n v="2"/>
    <n v="236.33"/>
    <s v="398 Main St"/>
    <x v="1"/>
    <s v="Pending"/>
    <s v="TRK62422797"/>
    <n v="3"/>
    <s v="SAVE10"/>
    <s v="Instagram"/>
    <n v="472.66"/>
    <n v="472.66"/>
    <s v="Correct"/>
    <x v="6"/>
    <n v="2024"/>
    <s v="Q2"/>
    <s v="Printer"/>
  </r>
  <r>
    <s v="ORD200340"/>
    <d v="2023-04-23T00:00:00"/>
    <s v="C76207"/>
    <x v="5"/>
    <n v="5"/>
    <n v="521.25"/>
    <s v="826 Main St"/>
    <x v="4"/>
    <s v="Cancelled"/>
    <s v="TRK25569378"/>
    <n v="8"/>
    <s v="no coupoun"/>
    <s v="Email"/>
    <n v="2606.25"/>
    <n v="2606.25"/>
    <s v="Correct"/>
    <x v="6"/>
    <n v="2023"/>
    <s v="Q2"/>
    <s v="Laptop"/>
  </r>
  <r>
    <s v="ORD200341"/>
    <d v="2024-09-23T00:00:00"/>
    <s v="C94671"/>
    <x v="2"/>
    <n v="1"/>
    <n v="167.15"/>
    <s v="293 Main St"/>
    <x v="3"/>
    <s v="Shipped"/>
    <s v="TRK61357272"/>
    <n v="5"/>
    <s v="WINTER15"/>
    <s v="Email"/>
    <n v="167.15"/>
    <n v="167.15"/>
    <s v="Correct"/>
    <x v="11"/>
    <n v="2024"/>
    <s v="Q3"/>
    <s v="Tablet"/>
  </r>
  <r>
    <s v="ORD200342"/>
    <d v="2025-06-24T00:00:00"/>
    <s v="C69994"/>
    <x v="0"/>
    <n v="5"/>
    <n v="466.42"/>
    <s v="619 Main St"/>
    <x v="3"/>
    <s v="Returned"/>
    <s v="TRK95935805"/>
    <n v="5"/>
    <s v="no coupoun"/>
    <s v="Referral"/>
    <n v="2332.1"/>
    <n v="2332.1"/>
    <s v="Correct"/>
    <x v="5"/>
    <n v="2025"/>
    <s v="Q2"/>
    <s v="Monitor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s v="Facebook"/>
    <n v="527.57000000000005"/>
    <n v="527.57000000000005"/>
    <s v="Correct"/>
    <x v="2"/>
    <n v="2023"/>
    <s v="Q1"/>
    <s v="Printer"/>
  </r>
  <r>
    <s v="ORD200344"/>
    <d v="2025-03-06T00:00:00"/>
    <s v="C95623"/>
    <x v="2"/>
    <n v="3"/>
    <n v="623.34"/>
    <s v="248 Main St"/>
    <x v="1"/>
    <s v="Cancelled"/>
    <s v="TRK67558189"/>
    <n v="3"/>
    <s v="SAVE10"/>
    <s v="Instagram"/>
    <n v="1870.02"/>
    <n v="1870.02"/>
    <s v="Correct"/>
    <x v="9"/>
    <n v="2025"/>
    <s v="Q1"/>
    <s v="Tablet"/>
  </r>
  <r>
    <s v="ORD200345"/>
    <d v="2023-12-07T00:00:00"/>
    <s v="C24751"/>
    <x v="2"/>
    <n v="5"/>
    <n v="501.26"/>
    <s v="259 Main St"/>
    <x v="3"/>
    <s v="Shipped"/>
    <s v="TRK37285406"/>
    <n v="10"/>
    <s v="FREESHIP"/>
    <s v="Referral"/>
    <n v="2506.3000000000002"/>
    <n v="2506.3000000000002"/>
    <s v="Correct"/>
    <x v="8"/>
    <n v="2023"/>
    <s v="Q4"/>
    <s v="Tablet"/>
  </r>
  <r>
    <s v="ORD200346"/>
    <d v="2024-12-06T00:00:00"/>
    <s v="C31764"/>
    <x v="2"/>
    <n v="1"/>
    <n v="655.09"/>
    <s v="876 Main St"/>
    <x v="4"/>
    <s v="Pending"/>
    <s v="TRK44680433"/>
    <n v="6"/>
    <s v="no coupoun"/>
    <s v="Referral"/>
    <n v="655.09"/>
    <n v="655.09"/>
    <s v="Correct"/>
    <x v="8"/>
    <n v="2024"/>
    <s v="Q4"/>
    <s v="Tablet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s v="Google"/>
    <n v="1059.1600000000001"/>
    <n v="1059.1600000000001"/>
    <s v="Correct"/>
    <x v="2"/>
    <n v="2024"/>
    <s v="Q1"/>
    <s v="Printer"/>
  </r>
  <r>
    <s v="ORD200348"/>
    <d v="2024-03-13T00:00:00"/>
    <s v="C24369"/>
    <x v="5"/>
    <n v="3"/>
    <n v="359.73"/>
    <s v="885 Main St"/>
    <x v="0"/>
    <s v="Returned"/>
    <s v="TRK72633998"/>
    <n v="7"/>
    <s v="FREESHIP"/>
    <s v="Email"/>
    <n v="1079.19"/>
    <n v="1079.19"/>
    <s v="Correct"/>
    <x v="9"/>
    <n v="2024"/>
    <s v="Q1"/>
    <s v="Laptop"/>
  </r>
  <r>
    <s v="ORD200349"/>
    <d v="2023-11-30T00:00:00"/>
    <s v="C39648"/>
    <x v="3"/>
    <n v="1"/>
    <n v="465.33"/>
    <s v="824 Main St"/>
    <x v="3"/>
    <s v="Delivered"/>
    <s v="TRK56016905"/>
    <n v="2"/>
    <s v="FREESHIP"/>
    <s v="Google"/>
    <n v="465.33"/>
    <n v="465.33"/>
    <s v="Correct"/>
    <x v="7"/>
    <n v="2023"/>
    <s v="Q4"/>
    <s v="Chair"/>
  </r>
  <r>
    <s v="ORD200350"/>
    <d v="2023-06-03T00:00:00"/>
    <s v="C13296"/>
    <x v="3"/>
    <n v="2"/>
    <n v="54.41"/>
    <s v="495 Main St"/>
    <x v="1"/>
    <s v="Shipped"/>
    <s v="TRK60127216"/>
    <n v="6"/>
    <s v="no coupoun"/>
    <s v="Instagram"/>
    <n v="108.82"/>
    <n v="108.82"/>
    <s v="Correct"/>
    <x v="5"/>
    <n v="2023"/>
    <s v="Q2"/>
    <s v="Chair"/>
  </r>
  <r>
    <s v="ORD200351"/>
    <d v="2025-02-15T00:00:00"/>
    <s v="C94248"/>
    <x v="5"/>
    <n v="1"/>
    <n v="64.66"/>
    <s v="494 Main St"/>
    <x v="0"/>
    <s v="Delivered"/>
    <s v="TRK89406816"/>
    <n v="4"/>
    <s v="no coupoun"/>
    <s v="Instagram"/>
    <n v="64.66"/>
    <n v="64.66"/>
    <s v="Correct"/>
    <x v="2"/>
    <n v="2025"/>
    <s v="Q1"/>
    <s v="Laptop"/>
  </r>
  <r>
    <s v="ORD200352"/>
    <d v="2023-08-31T00:00:00"/>
    <s v="C26637"/>
    <x v="3"/>
    <n v="5"/>
    <n v="173.96"/>
    <s v="995 Main St"/>
    <x v="0"/>
    <s v="Pending"/>
    <s v="TRK59546992"/>
    <n v="8"/>
    <s v="WINTER15"/>
    <s v="Instagram"/>
    <n v="869.80000000000007"/>
    <n v="869.80000000000007"/>
    <s v="Correct"/>
    <x v="1"/>
    <n v="2023"/>
    <s v="Q3"/>
    <s v="Chair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s v="Google"/>
    <n v="630.82000000000005"/>
    <n v="630.82000000000005"/>
    <s v="Correct"/>
    <x v="9"/>
    <n v="2025"/>
    <s v="Q1"/>
    <s v="Tablet"/>
  </r>
  <r>
    <s v="ORD200354"/>
    <d v="2023-07-11T00:00:00"/>
    <s v="C31772"/>
    <x v="1"/>
    <n v="1"/>
    <n v="693.41"/>
    <s v="992 Main St"/>
    <x v="0"/>
    <s v="Shipped"/>
    <s v="TRK11970357"/>
    <n v="4"/>
    <s v="no coupoun"/>
    <s v="Instagram"/>
    <n v="693.41"/>
    <n v="693.41"/>
    <s v="Correct"/>
    <x v="10"/>
    <n v="2023"/>
    <s v="Q3"/>
    <s v="Phone"/>
  </r>
  <r>
    <s v="ORD200355"/>
    <d v="2025-06-03T00:00:00"/>
    <s v="C18353"/>
    <x v="2"/>
    <n v="3"/>
    <n v="433.33"/>
    <s v="677 Main St"/>
    <x v="2"/>
    <s v="Cancelled"/>
    <s v="TRK78766533"/>
    <n v="4"/>
    <s v="FREESHIP"/>
    <s v="Referral"/>
    <n v="1299.99"/>
    <n v="1299.99"/>
    <s v="Correct"/>
    <x v="5"/>
    <n v="2025"/>
    <s v="Q2"/>
    <s v="Tablet"/>
  </r>
  <r>
    <s v="ORD200356"/>
    <d v="2023-05-06T00:00:00"/>
    <s v="C26966"/>
    <x v="4"/>
    <n v="5"/>
    <n v="374.58"/>
    <s v="907 Main St"/>
    <x v="3"/>
    <s v="Cancelled"/>
    <s v="TRK83889574"/>
    <n v="10"/>
    <s v="FREESHIP"/>
    <s v="Instagram"/>
    <n v="1872.9"/>
    <n v="1872.8999999999999"/>
    <s v="Correct"/>
    <x v="4"/>
    <n v="2023"/>
    <s v="Q2"/>
    <s v="Printer"/>
  </r>
  <r>
    <s v="ORD200357"/>
    <d v="2023-07-08T00:00:00"/>
    <s v="C74982"/>
    <x v="5"/>
    <n v="5"/>
    <n v="408.56"/>
    <s v="398 Main St"/>
    <x v="0"/>
    <s v="Delivered"/>
    <s v="TRK98700702"/>
    <n v="8"/>
    <s v="FREESHIP"/>
    <s v="Instagram"/>
    <n v="2042.8"/>
    <n v="2042.8"/>
    <s v="Correct"/>
    <x v="10"/>
    <n v="2023"/>
    <s v="Q3"/>
    <s v="Laptop"/>
  </r>
  <r>
    <s v="ORD200358"/>
    <d v="2024-04-07T00:00:00"/>
    <s v="C70633"/>
    <x v="2"/>
    <n v="2"/>
    <n v="183.67"/>
    <s v="747 Main St"/>
    <x v="1"/>
    <s v="Cancelled"/>
    <s v="TRK82540521"/>
    <n v="3"/>
    <s v="SAVE10"/>
    <s v="Google"/>
    <n v="367.34"/>
    <n v="367.34"/>
    <s v="Correct"/>
    <x v="6"/>
    <n v="2024"/>
    <s v="Q2"/>
    <s v="Tablet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s v="Referral"/>
    <n v="2426.2800000000002"/>
    <n v="2426.2800000000002"/>
    <s v="Correct"/>
    <x v="5"/>
    <n v="2023"/>
    <s v="Q2"/>
    <s v="Desk"/>
  </r>
  <r>
    <s v="ORD200360"/>
    <d v="2024-06-06T00:00:00"/>
    <s v="C53810"/>
    <x v="1"/>
    <n v="4"/>
    <n v="589.57000000000005"/>
    <s v="779 Main St"/>
    <x v="4"/>
    <s v="Pending"/>
    <s v="TRK34630612"/>
    <n v="8"/>
    <s v="no coupoun"/>
    <s v="Instagram"/>
    <n v="2358.2800000000002"/>
    <n v="2358.2800000000002"/>
    <s v="Correct"/>
    <x v="5"/>
    <n v="2024"/>
    <s v="Q2"/>
    <s v="Phone"/>
  </r>
  <r>
    <s v="ORD200361"/>
    <d v="2024-06-29T00:00:00"/>
    <s v="C53464"/>
    <x v="4"/>
    <n v="5"/>
    <n v="659.85"/>
    <s v="197 Main St"/>
    <x v="2"/>
    <s v="Delivered"/>
    <s v="TRK32743531"/>
    <n v="9"/>
    <s v="SAVE10"/>
    <s v="Facebook"/>
    <n v="3299.25"/>
    <n v="3299.25"/>
    <s v="Correct"/>
    <x v="5"/>
    <n v="2024"/>
    <s v="Q2"/>
    <s v="Printer"/>
  </r>
  <r>
    <s v="ORD200362"/>
    <d v="2023-06-27T00:00:00"/>
    <s v="C53697"/>
    <x v="0"/>
    <n v="4"/>
    <n v="206.84"/>
    <s v="312 Main St"/>
    <x v="4"/>
    <s v="Cancelled"/>
    <s v="TRK60476656"/>
    <n v="5"/>
    <s v="WINTER15"/>
    <s v="Instagram"/>
    <n v="827.36"/>
    <n v="827.36"/>
    <s v="Correct"/>
    <x v="5"/>
    <n v="2023"/>
    <s v="Q2"/>
    <s v="Monitor"/>
  </r>
  <r>
    <s v="ORD200363"/>
    <d v="2024-05-24T00:00:00"/>
    <s v="C31668"/>
    <x v="5"/>
    <n v="5"/>
    <n v="113.87"/>
    <s v="871 Main St"/>
    <x v="2"/>
    <s v="Pending"/>
    <s v="TRK42584392"/>
    <n v="6"/>
    <s v="SAVE10"/>
    <s v="Email"/>
    <n v="569.35"/>
    <n v="569.35"/>
    <s v="Correct"/>
    <x v="4"/>
    <n v="2024"/>
    <s v="Q2"/>
    <s v="Laptop"/>
  </r>
  <r>
    <s v="ORD200364"/>
    <d v="2023-11-24T00:00:00"/>
    <s v="C85282"/>
    <x v="1"/>
    <n v="5"/>
    <n v="628.74"/>
    <s v="740 Main St"/>
    <x v="4"/>
    <s v="Cancelled"/>
    <s v="TRK86767206"/>
    <n v="9"/>
    <s v="FREESHIP"/>
    <s v="Facebook"/>
    <n v="3143.7"/>
    <n v="3143.7"/>
    <s v="Correct"/>
    <x v="7"/>
    <n v="2023"/>
    <s v="Q4"/>
    <s v="Phone"/>
  </r>
  <r>
    <s v="ORD200365"/>
    <d v="2025-02-14T00:00:00"/>
    <s v="C56796"/>
    <x v="1"/>
    <n v="1"/>
    <n v="678.38"/>
    <s v="607 Main St"/>
    <x v="2"/>
    <s v="Cancelled"/>
    <s v="TRK74263180"/>
    <n v="4"/>
    <s v="SAVE10"/>
    <s v="Referral"/>
    <n v="678.38"/>
    <n v="678.38"/>
    <s v="Correct"/>
    <x v="2"/>
    <n v="2025"/>
    <s v="Q1"/>
    <s v="Phone"/>
  </r>
  <r>
    <s v="ORD200366"/>
    <d v="2023-02-10T00:00:00"/>
    <s v="C95213"/>
    <x v="4"/>
    <n v="3"/>
    <n v="602.24"/>
    <s v="603 Main St"/>
    <x v="0"/>
    <s v="Pending"/>
    <s v="TRK40630538"/>
    <n v="8"/>
    <s v="no coupoun"/>
    <s v="Referral"/>
    <n v="1806.72"/>
    <n v="1806.72"/>
    <s v="Correct"/>
    <x v="2"/>
    <n v="2023"/>
    <s v="Q1"/>
    <s v="Printer"/>
  </r>
  <r>
    <s v="ORD200367"/>
    <d v="2024-04-25T00:00:00"/>
    <s v="C13108"/>
    <x v="5"/>
    <n v="5"/>
    <n v="658.77"/>
    <s v="712 Main St"/>
    <x v="3"/>
    <s v="Pending"/>
    <s v="TRK82284400"/>
    <n v="10"/>
    <s v="FREESHIP"/>
    <s v="Instagram"/>
    <n v="3293.85"/>
    <n v="3293.85"/>
    <s v="Correct"/>
    <x v="6"/>
    <n v="2024"/>
    <s v="Q2"/>
    <s v="Laptop"/>
  </r>
  <r>
    <s v="ORD200368"/>
    <d v="2023-05-01T00:00:00"/>
    <s v="C85322"/>
    <x v="0"/>
    <n v="3"/>
    <n v="271.02"/>
    <s v="403 Main St"/>
    <x v="2"/>
    <s v="Cancelled"/>
    <s v="TRK89728869"/>
    <n v="6"/>
    <s v="no coupoun"/>
    <s v="Google"/>
    <n v="813.06"/>
    <n v="813.06"/>
    <s v="Correct"/>
    <x v="4"/>
    <n v="2023"/>
    <s v="Q2"/>
    <s v="Monitor"/>
  </r>
  <r>
    <s v="ORD200369"/>
    <d v="2024-12-22T00:00:00"/>
    <s v="C43545"/>
    <x v="0"/>
    <n v="5"/>
    <n v="375.25"/>
    <s v="216 Main St"/>
    <x v="3"/>
    <s v="Pending"/>
    <s v="TRK73937402"/>
    <n v="9"/>
    <s v="SAVE10"/>
    <s v="Email"/>
    <n v="1876.25"/>
    <n v="1876.25"/>
    <s v="Correct"/>
    <x v="8"/>
    <n v="2024"/>
    <s v="Q4"/>
    <s v="Monitor"/>
  </r>
  <r>
    <s v="ORD200370"/>
    <d v="2025-05-03T00:00:00"/>
    <s v="C80649"/>
    <x v="1"/>
    <n v="1"/>
    <n v="312.11"/>
    <s v="870 Main St"/>
    <x v="1"/>
    <s v="Cancelled"/>
    <s v="TRK41143313"/>
    <n v="4"/>
    <s v="WINTER15"/>
    <s v="Facebook"/>
    <n v="312.11"/>
    <n v="312.11"/>
    <s v="Correct"/>
    <x v="4"/>
    <n v="2025"/>
    <s v="Q2"/>
    <s v="Phone"/>
  </r>
  <r>
    <s v="ORD200371"/>
    <d v="2023-01-05T00:00:00"/>
    <s v="C59752"/>
    <x v="1"/>
    <n v="5"/>
    <n v="307.76"/>
    <s v="179 Main St"/>
    <x v="3"/>
    <s v="Pending"/>
    <s v="TRK82229639"/>
    <n v="9"/>
    <s v="FREESHIP"/>
    <s v="Google"/>
    <n v="1538.8"/>
    <n v="1538.8"/>
    <s v="Correct"/>
    <x v="0"/>
    <n v="2023"/>
    <s v="Q1"/>
    <s v="Phone"/>
  </r>
  <r>
    <s v="ORD200372"/>
    <d v="2025-02-14T00:00:00"/>
    <s v="C53645"/>
    <x v="3"/>
    <n v="3"/>
    <n v="483.53"/>
    <s v="166 Main St"/>
    <x v="4"/>
    <s v="Returned"/>
    <s v="TRK12123939"/>
    <n v="4"/>
    <s v="no coupoun"/>
    <s v="Referral"/>
    <n v="1450.59"/>
    <n v="1450.59"/>
    <s v="Correct"/>
    <x v="2"/>
    <n v="2025"/>
    <s v="Q1"/>
    <s v="Chair"/>
  </r>
  <r>
    <s v="ORD200373"/>
    <d v="2023-01-02T00:00:00"/>
    <s v="C60178"/>
    <x v="5"/>
    <n v="3"/>
    <n v="341.15"/>
    <s v="969 Main St"/>
    <x v="4"/>
    <s v="Pending"/>
    <s v="TRK84505143"/>
    <n v="4"/>
    <s v="FREESHIP"/>
    <s v="Instagram"/>
    <n v="1023.45"/>
    <n v="1023.4499999999999"/>
    <s v="Correct"/>
    <x v="0"/>
    <n v="2023"/>
    <s v="Q1"/>
    <s v="Laptop"/>
  </r>
  <r>
    <s v="ORD200374"/>
    <d v="2024-09-16T00:00:00"/>
    <s v="C20286"/>
    <x v="0"/>
    <n v="1"/>
    <n v="571.9"/>
    <s v="129 Main St"/>
    <x v="3"/>
    <s v="Pending"/>
    <s v="TRK67648338"/>
    <n v="1"/>
    <s v="WINTER15"/>
    <s v="Instagram"/>
    <n v="571.9"/>
    <n v="571.9"/>
    <s v="Correct"/>
    <x v="11"/>
    <n v="2024"/>
    <s v="Q3"/>
    <s v="Monitor"/>
  </r>
  <r>
    <s v="ORD200375"/>
    <d v="2025-01-16T00:00:00"/>
    <s v="C87547"/>
    <x v="0"/>
    <n v="4"/>
    <n v="95.03"/>
    <s v="400 Main St"/>
    <x v="1"/>
    <s v="Shipped"/>
    <s v="TRK71027262"/>
    <n v="8"/>
    <s v="FREESHIP"/>
    <s v="Facebook"/>
    <n v="380.12"/>
    <n v="380.12"/>
    <s v="Correct"/>
    <x v="0"/>
    <n v="2025"/>
    <s v="Q1"/>
    <s v="Monitor"/>
  </r>
  <r>
    <s v="ORD200376"/>
    <d v="2023-08-24T00:00:00"/>
    <s v="C64549"/>
    <x v="0"/>
    <n v="5"/>
    <n v="201.22"/>
    <s v="341 Main St"/>
    <x v="0"/>
    <s v="Pending"/>
    <s v="TRK20788231"/>
    <n v="6"/>
    <s v="FREESHIP"/>
    <s v="Facebook"/>
    <n v="1006.1"/>
    <n v="1006.1"/>
    <s v="Correct"/>
    <x v="1"/>
    <n v="2023"/>
    <s v="Q3"/>
    <s v="Monitor"/>
  </r>
  <r>
    <s v="ORD200377"/>
    <d v="2024-07-22T00:00:00"/>
    <s v="C24884"/>
    <x v="0"/>
    <n v="1"/>
    <n v="260.26"/>
    <s v="625 Main St"/>
    <x v="1"/>
    <s v="Pending"/>
    <s v="TRK44538419"/>
    <n v="5"/>
    <s v="WINTER15"/>
    <s v="Instagram"/>
    <n v="260.26"/>
    <n v="260.26"/>
    <s v="Correct"/>
    <x v="10"/>
    <n v="2024"/>
    <s v="Q3"/>
    <s v="Monitor"/>
  </r>
  <r>
    <s v="ORD200378"/>
    <d v="2024-02-01T00:00:00"/>
    <s v="C62666"/>
    <x v="3"/>
    <n v="5"/>
    <n v="64.5"/>
    <s v="148 Main St"/>
    <x v="2"/>
    <s v="Pending"/>
    <s v="TRK91029390"/>
    <n v="8"/>
    <s v="WINTER15"/>
    <s v="Instagram"/>
    <n v="322.5"/>
    <n v="322.5"/>
    <s v="Correct"/>
    <x v="2"/>
    <n v="2024"/>
    <s v="Q1"/>
    <s v="Chair"/>
  </r>
  <r>
    <s v="ORD200379"/>
    <d v="2024-09-21T00:00:00"/>
    <s v="C47284"/>
    <x v="1"/>
    <n v="3"/>
    <n v="297.67"/>
    <s v="500 Main St"/>
    <x v="1"/>
    <s v="Shipped"/>
    <s v="TRK85756094"/>
    <n v="6"/>
    <s v="no coupoun"/>
    <s v="Google"/>
    <n v="893.01"/>
    <n v="893.01"/>
    <s v="Correct"/>
    <x v="11"/>
    <n v="2024"/>
    <s v="Q3"/>
    <s v="Phone"/>
  </r>
  <r>
    <s v="ORD200380"/>
    <d v="2024-04-20T00:00:00"/>
    <s v="C35355"/>
    <x v="4"/>
    <n v="4"/>
    <n v="331.9"/>
    <s v="127 Main St"/>
    <x v="4"/>
    <s v="Pending"/>
    <s v="TRK52935059"/>
    <n v="5"/>
    <s v="SAVE10"/>
    <s v="Instagram"/>
    <n v="1327.6"/>
    <n v="1327.6"/>
    <s v="Correct"/>
    <x v="6"/>
    <n v="2024"/>
    <s v="Q2"/>
    <s v="Printer"/>
  </r>
  <r>
    <s v="ORD200381"/>
    <d v="2023-06-07T00:00:00"/>
    <s v="C29467"/>
    <x v="3"/>
    <n v="1"/>
    <n v="191.76"/>
    <s v="223 Main St"/>
    <x v="2"/>
    <s v="Returned"/>
    <s v="TRK98103385"/>
    <n v="1"/>
    <s v="FREESHIP"/>
    <s v="Instagram"/>
    <n v="191.76"/>
    <n v="191.76"/>
    <s v="Correct"/>
    <x v="5"/>
    <n v="2023"/>
    <s v="Q2"/>
    <s v="Chair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s v="Google"/>
    <n v="1052.3599999999999"/>
    <n v="1052.3599999999999"/>
    <s v="Correct"/>
    <x v="0"/>
    <n v="2025"/>
    <s v="Q1"/>
    <s v="Printer"/>
  </r>
  <r>
    <s v="ORD200383"/>
    <d v="2023-01-20T00:00:00"/>
    <s v="C18944"/>
    <x v="3"/>
    <n v="4"/>
    <n v="393.8"/>
    <s v="837 Main St"/>
    <x v="2"/>
    <s v="Pending"/>
    <s v="TRK45275439"/>
    <n v="7"/>
    <s v="SAVE10"/>
    <s v="Email"/>
    <n v="1575.2"/>
    <n v="1575.2"/>
    <s v="Correct"/>
    <x v="0"/>
    <n v="2023"/>
    <s v="Q1"/>
    <s v="Chair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s v="Facebook"/>
    <n v="1660.71"/>
    <n v="1660.71"/>
    <s v="Correct"/>
    <x v="7"/>
    <n v="2024"/>
    <s v="Q4"/>
    <s v="Chair"/>
  </r>
  <r>
    <s v="ORD200385"/>
    <d v="2023-10-31T00:00:00"/>
    <s v="C56851"/>
    <x v="3"/>
    <n v="5"/>
    <n v="191.63"/>
    <s v="752 Main St"/>
    <x v="3"/>
    <s v="Delivered"/>
    <s v="TRK65290904"/>
    <n v="6"/>
    <s v="FREESHIP"/>
    <s v="Facebook"/>
    <n v="958.15"/>
    <n v="958.15"/>
    <s v="Correct"/>
    <x v="3"/>
    <n v="2023"/>
    <s v="Q4"/>
    <s v="Chair"/>
  </r>
  <r>
    <s v="ORD200386"/>
    <d v="2023-04-28T00:00:00"/>
    <s v="C12421"/>
    <x v="2"/>
    <n v="1"/>
    <n v="93.02"/>
    <s v="373 Main St"/>
    <x v="1"/>
    <s v="Returned"/>
    <s v="TRK32588504"/>
    <n v="4"/>
    <s v="no coupoun"/>
    <s v="Email"/>
    <n v="93.02"/>
    <n v="93.02"/>
    <s v="Correct"/>
    <x v="6"/>
    <n v="2023"/>
    <s v="Q2"/>
    <s v="Tablet"/>
  </r>
  <r>
    <s v="ORD200387"/>
    <d v="2024-06-27T00:00:00"/>
    <s v="C25316"/>
    <x v="4"/>
    <n v="2"/>
    <n v="39.53"/>
    <s v="904 Main St"/>
    <x v="2"/>
    <s v="Shipped"/>
    <s v="TRK55423551"/>
    <n v="3"/>
    <s v="WINTER15"/>
    <s v="Google"/>
    <n v="79.06"/>
    <n v="79.06"/>
    <s v="Correct"/>
    <x v="5"/>
    <n v="2024"/>
    <s v="Q2"/>
    <s v="Printer"/>
  </r>
  <r>
    <s v="ORD200388"/>
    <d v="2023-12-28T00:00:00"/>
    <s v="C22657"/>
    <x v="4"/>
    <n v="3"/>
    <n v="633.97"/>
    <s v="152 Main St"/>
    <x v="4"/>
    <s v="Pending"/>
    <s v="TRK49157047"/>
    <n v="7"/>
    <s v="WINTER15"/>
    <s v="Facebook"/>
    <n v="1901.91"/>
    <n v="1901.91"/>
    <s v="Correct"/>
    <x v="8"/>
    <n v="2023"/>
    <s v="Q4"/>
    <s v="Printer"/>
  </r>
  <r>
    <s v="ORD200389"/>
    <d v="2023-12-17T00:00:00"/>
    <s v="C29703"/>
    <x v="6"/>
    <n v="4"/>
    <n v="697.5"/>
    <s v="558 Main St"/>
    <x v="4"/>
    <s v="Shipped"/>
    <s v="TRK40543461"/>
    <n v="7"/>
    <s v="FREESHIP"/>
    <s v="Referral"/>
    <n v="2790"/>
    <n v="2790"/>
    <s v="Correct"/>
    <x v="8"/>
    <n v="2023"/>
    <s v="Q4"/>
    <s v="Desk"/>
  </r>
  <r>
    <s v="ORD200390"/>
    <d v="2023-07-14T00:00:00"/>
    <s v="C55996"/>
    <x v="4"/>
    <n v="5"/>
    <n v="508.69"/>
    <s v="885 Main St"/>
    <x v="4"/>
    <s v="Delivered"/>
    <s v="TRK30547638"/>
    <n v="10"/>
    <s v="FREESHIP"/>
    <s v="Google"/>
    <n v="2543.4499999999998"/>
    <n v="2543.4499999999998"/>
    <s v="Correct"/>
    <x v="10"/>
    <n v="2023"/>
    <s v="Q3"/>
    <s v="Printer"/>
  </r>
  <r>
    <s v="ORD200391"/>
    <d v="2025-01-16T00:00:00"/>
    <s v="C60037"/>
    <x v="5"/>
    <n v="2"/>
    <n v="527.46"/>
    <s v="516 Main St"/>
    <x v="0"/>
    <s v="Cancelled"/>
    <s v="TRK82009557"/>
    <n v="3"/>
    <s v="FREESHIP"/>
    <s v="Referral"/>
    <n v="1054.92"/>
    <n v="1054.92"/>
    <s v="Correct"/>
    <x v="0"/>
    <n v="2025"/>
    <s v="Q1"/>
    <s v="Laptop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s v="Email"/>
    <n v="627.20000000000005"/>
    <n v="627.20000000000005"/>
    <s v="Correct"/>
    <x v="2"/>
    <n v="2024"/>
    <s v="Q1"/>
    <s v="Phone"/>
  </r>
  <r>
    <s v="ORD200393"/>
    <d v="2024-07-14T00:00:00"/>
    <s v="C39906"/>
    <x v="4"/>
    <n v="1"/>
    <n v="75.010000000000005"/>
    <s v="921 Main St"/>
    <x v="2"/>
    <s v="Returned"/>
    <s v="TRK24632134"/>
    <n v="3"/>
    <s v="no coupoun"/>
    <s v="Google"/>
    <n v="75.010000000000005"/>
    <n v="75.010000000000005"/>
    <s v="Correct"/>
    <x v="10"/>
    <n v="2024"/>
    <s v="Q3"/>
    <s v="Printer"/>
  </r>
  <r>
    <s v="ORD200394"/>
    <d v="2023-07-05T00:00:00"/>
    <s v="C70148"/>
    <x v="6"/>
    <n v="5"/>
    <n v="529.54999999999995"/>
    <s v="359 Main St"/>
    <x v="3"/>
    <s v="Shipped"/>
    <s v="TRK34848650"/>
    <n v="10"/>
    <s v="no coupoun"/>
    <s v="Facebook"/>
    <n v="2647.75"/>
    <n v="2647.75"/>
    <s v="Correct"/>
    <x v="10"/>
    <n v="2023"/>
    <s v="Q3"/>
    <s v="Desk"/>
  </r>
  <r>
    <s v="ORD200395"/>
    <d v="2025-04-25T00:00:00"/>
    <s v="C30010"/>
    <x v="1"/>
    <n v="3"/>
    <n v="127.41"/>
    <s v="830 Main St"/>
    <x v="3"/>
    <s v="Delivered"/>
    <s v="TRK35386084"/>
    <n v="7"/>
    <s v="SAVE10"/>
    <s v="Referral"/>
    <n v="382.23"/>
    <n v="382.23"/>
    <s v="Correct"/>
    <x v="6"/>
    <n v="2025"/>
    <s v="Q2"/>
    <s v="Phone"/>
  </r>
  <r>
    <s v="ORD200396"/>
    <d v="2023-12-01T00:00:00"/>
    <s v="C99217"/>
    <x v="2"/>
    <n v="5"/>
    <n v="287.13"/>
    <s v="778 Main St"/>
    <x v="1"/>
    <s v="Shipped"/>
    <s v="TRK82004594"/>
    <n v="10"/>
    <s v="SAVE10"/>
    <s v="Email"/>
    <n v="1435.65"/>
    <n v="1435.65"/>
    <s v="Correct"/>
    <x v="8"/>
    <n v="2023"/>
    <s v="Q4"/>
    <s v="Tablet"/>
  </r>
  <r>
    <s v="ORD200397"/>
    <d v="2023-09-28T00:00:00"/>
    <s v="C30184"/>
    <x v="0"/>
    <n v="1"/>
    <n v="427.06"/>
    <s v="987 Main St"/>
    <x v="1"/>
    <s v="Cancelled"/>
    <s v="TRK86674704"/>
    <n v="1"/>
    <s v="WINTER15"/>
    <s v="Referral"/>
    <n v="427.06"/>
    <n v="427.06"/>
    <s v="Correct"/>
    <x v="11"/>
    <n v="2023"/>
    <s v="Q3"/>
    <s v="Monitor"/>
  </r>
  <r>
    <s v="ORD200398"/>
    <d v="2024-09-04T00:00:00"/>
    <s v="C50275"/>
    <x v="1"/>
    <n v="5"/>
    <n v="53.93"/>
    <s v="729 Main St"/>
    <x v="3"/>
    <s v="Shipped"/>
    <s v="TRK98925264"/>
    <n v="7"/>
    <s v="SAVE10"/>
    <s v="Instagram"/>
    <n v="269.64999999999998"/>
    <n v="269.64999999999998"/>
    <s v="Correct"/>
    <x v="11"/>
    <n v="2024"/>
    <s v="Q3"/>
    <s v="Phone"/>
  </r>
  <r>
    <s v="ORD200399"/>
    <d v="2024-01-07T00:00:00"/>
    <s v="C64641"/>
    <x v="2"/>
    <n v="5"/>
    <n v="423.93"/>
    <s v="319 Main St"/>
    <x v="0"/>
    <s v="Returned"/>
    <s v="TRK32012588"/>
    <n v="5"/>
    <s v="FREESHIP"/>
    <s v="Facebook"/>
    <n v="2119.65"/>
    <n v="2119.65"/>
    <s v="Correct"/>
    <x v="0"/>
    <n v="2024"/>
    <s v="Q1"/>
    <s v="Tablet"/>
  </r>
  <r>
    <s v="ORD200400"/>
    <d v="2024-09-28T00:00:00"/>
    <s v="C56266"/>
    <x v="6"/>
    <n v="4"/>
    <n v="160.22"/>
    <s v="304 Main St"/>
    <x v="0"/>
    <s v="Returned"/>
    <s v="TRK60088901"/>
    <n v="9"/>
    <s v="WINTER15"/>
    <s v="Instagram"/>
    <n v="640.88"/>
    <n v="640.88"/>
    <s v="Correct"/>
    <x v="11"/>
    <n v="2024"/>
    <s v="Q3"/>
    <s v="Desk"/>
  </r>
  <r>
    <s v="ORD200401"/>
    <d v="2025-04-09T00:00:00"/>
    <s v="C98635"/>
    <x v="4"/>
    <n v="1"/>
    <n v="538.67999999999995"/>
    <s v="197 Main St"/>
    <x v="0"/>
    <s v="Returned"/>
    <s v="TRK14225465"/>
    <n v="6"/>
    <s v="no coupoun"/>
    <s v="Referral"/>
    <n v="538.67999999999995"/>
    <n v="538.67999999999995"/>
    <s v="Correct"/>
    <x v="6"/>
    <n v="2025"/>
    <s v="Q2"/>
    <s v="Printer"/>
  </r>
  <r>
    <s v="ORD200402"/>
    <d v="2023-04-09T00:00:00"/>
    <s v="C83026"/>
    <x v="4"/>
    <n v="5"/>
    <n v="337.38"/>
    <s v="858 Main St"/>
    <x v="3"/>
    <s v="Shipped"/>
    <s v="TRK79746259"/>
    <n v="5"/>
    <s v="no coupoun"/>
    <s v="Referral"/>
    <n v="1686.9"/>
    <n v="1686.9"/>
    <s v="Correct"/>
    <x v="6"/>
    <n v="2023"/>
    <s v="Q2"/>
    <s v="Printer"/>
  </r>
  <r>
    <s v="ORD200403"/>
    <d v="2024-11-10T00:00:00"/>
    <s v="C28893"/>
    <x v="2"/>
    <n v="1"/>
    <n v="620.21"/>
    <s v="740 Main St"/>
    <x v="1"/>
    <s v="Returned"/>
    <s v="TRK98333066"/>
    <n v="1"/>
    <s v="FREESHIP"/>
    <s v="Referral"/>
    <n v="620.21"/>
    <n v="620.21"/>
    <s v="Correct"/>
    <x v="7"/>
    <n v="2024"/>
    <s v="Q4"/>
    <s v="Tablet"/>
  </r>
  <r>
    <s v="ORD200404"/>
    <d v="2023-03-09T00:00:00"/>
    <s v="C45482"/>
    <x v="0"/>
    <n v="2"/>
    <n v="99.1"/>
    <s v="440 Main St"/>
    <x v="4"/>
    <s v="Delivered"/>
    <s v="TRK54571699"/>
    <n v="6"/>
    <s v="no coupoun"/>
    <s v="Instagram"/>
    <n v="198.2"/>
    <n v="198.2"/>
    <s v="Correct"/>
    <x v="9"/>
    <n v="2023"/>
    <s v="Q1"/>
    <s v="Monitor"/>
  </r>
  <r>
    <s v="ORD200405"/>
    <d v="2025-01-26T00:00:00"/>
    <s v="C97774"/>
    <x v="0"/>
    <n v="4"/>
    <n v="451.97"/>
    <s v="603 Main St"/>
    <x v="1"/>
    <s v="Cancelled"/>
    <s v="TRK64664424"/>
    <n v="7"/>
    <s v="WINTER15"/>
    <s v="Email"/>
    <n v="1807.88"/>
    <n v="1807.88"/>
    <s v="Correct"/>
    <x v="0"/>
    <n v="2025"/>
    <s v="Q1"/>
    <s v="Monitor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s v="Google"/>
    <n v="264.39999999999998"/>
    <n v="264.39999999999998"/>
    <s v="Correct"/>
    <x v="8"/>
    <n v="2023"/>
    <s v="Q4"/>
    <s v="Tablet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s v="Instagram"/>
    <n v="2189.2800000000002"/>
    <n v="2189.2800000000002"/>
    <s v="Correct"/>
    <x v="1"/>
    <n v="2023"/>
    <s v="Q3"/>
    <s v="Tablet"/>
  </r>
  <r>
    <s v="ORD200408"/>
    <d v="2025-01-01T00:00:00"/>
    <s v="C11906"/>
    <x v="4"/>
    <n v="3"/>
    <n v="412.53"/>
    <s v="536 Main St"/>
    <x v="1"/>
    <s v="Pending"/>
    <s v="TRK31140158"/>
    <n v="6"/>
    <s v="WINTER15"/>
    <s v="Google"/>
    <n v="1237.5899999999999"/>
    <n v="1237.5899999999999"/>
    <s v="Correct"/>
    <x v="0"/>
    <n v="2025"/>
    <s v="Q1"/>
    <s v="Printer"/>
  </r>
  <r>
    <s v="ORD200409"/>
    <d v="2023-06-28T00:00:00"/>
    <s v="C45187"/>
    <x v="6"/>
    <n v="5"/>
    <n v="84.13"/>
    <s v="767 Main St"/>
    <x v="1"/>
    <s v="Delivered"/>
    <s v="TRK12320793"/>
    <n v="9"/>
    <s v="SAVE10"/>
    <s v="Google"/>
    <n v="420.65"/>
    <n v="420.65"/>
    <s v="Correct"/>
    <x v="5"/>
    <n v="2023"/>
    <s v="Q2"/>
    <s v="Desk"/>
  </r>
  <r>
    <s v="ORD200410"/>
    <d v="2024-01-18T00:00:00"/>
    <s v="C37375"/>
    <x v="2"/>
    <n v="2"/>
    <n v="518.23"/>
    <s v="184 Main St"/>
    <x v="0"/>
    <s v="Shipped"/>
    <s v="TRK52470162"/>
    <n v="5"/>
    <s v="no coupoun"/>
    <s v="Email"/>
    <n v="1036.46"/>
    <n v="1036.46"/>
    <s v="Correct"/>
    <x v="0"/>
    <n v="2024"/>
    <s v="Q1"/>
    <s v="Tablet"/>
  </r>
  <r>
    <s v="ORD200411"/>
    <d v="2024-06-19T00:00:00"/>
    <s v="C66567"/>
    <x v="6"/>
    <n v="2"/>
    <n v="39.51"/>
    <s v="981 Main St"/>
    <x v="1"/>
    <s v="Shipped"/>
    <s v="TRK21174822"/>
    <n v="5"/>
    <s v="no coupoun"/>
    <s v="Facebook"/>
    <n v="79.02"/>
    <n v="79.02"/>
    <s v="Correct"/>
    <x v="5"/>
    <n v="2024"/>
    <s v="Q2"/>
    <s v="Desk"/>
  </r>
  <r>
    <s v="ORD200412"/>
    <d v="2025-04-11T00:00:00"/>
    <s v="C42451"/>
    <x v="2"/>
    <n v="5"/>
    <n v="133.01"/>
    <s v="246 Main St"/>
    <x v="2"/>
    <s v="Returned"/>
    <s v="TRK31313343"/>
    <n v="10"/>
    <s v="no coupoun"/>
    <s v="Facebook"/>
    <n v="665.05"/>
    <n v="665.05"/>
    <s v="Correct"/>
    <x v="6"/>
    <n v="2025"/>
    <s v="Q2"/>
    <s v="Tablet"/>
  </r>
  <r>
    <s v="ORD200413"/>
    <d v="2023-10-08T00:00:00"/>
    <s v="C13923"/>
    <x v="2"/>
    <n v="1"/>
    <n v="118.8"/>
    <s v="123 Main St"/>
    <x v="1"/>
    <s v="Delivered"/>
    <s v="TRK87598790"/>
    <n v="6"/>
    <s v="SAVE10"/>
    <s v="Email"/>
    <n v="118.8"/>
    <n v="118.8"/>
    <s v="Correct"/>
    <x v="3"/>
    <n v="2023"/>
    <s v="Q4"/>
    <s v="Tablet"/>
  </r>
  <r>
    <s v="ORD200414"/>
    <d v="2025-05-04T00:00:00"/>
    <s v="C11829"/>
    <x v="6"/>
    <n v="2"/>
    <n v="139.57"/>
    <s v="797 Main St"/>
    <x v="4"/>
    <s v="Delivered"/>
    <s v="TRK84229257"/>
    <n v="4"/>
    <s v="WINTER15"/>
    <s v="Facebook"/>
    <n v="279.14"/>
    <n v="279.14"/>
    <s v="Correct"/>
    <x v="4"/>
    <n v="2025"/>
    <s v="Q2"/>
    <s v="Desk"/>
  </r>
  <r>
    <s v="ORD200415"/>
    <d v="2025-04-06T00:00:00"/>
    <s v="C62169"/>
    <x v="3"/>
    <n v="1"/>
    <n v="184.15"/>
    <s v="655 Main St"/>
    <x v="3"/>
    <s v="Shipped"/>
    <s v="TRK64558985"/>
    <n v="5"/>
    <s v="FREESHIP"/>
    <s v="Facebook"/>
    <n v="184.15"/>
    <n v="184.15"/>
    <s v="Correct"/>
    <x v="6"/>
    <n v="2025"/>
    <s v="Q2"/>
    <s v="Chair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s v="Referral"/>
    <n v="1288.0999999999999"/>
    <n v="1288.0999999999999"/>
    <s v="Correct"/>
    <x v="10"/>
    <n v="2023"/>
    <s v="Q3"/>
    <s v="Laptop"/>
  </r>
  <r>
    <s v="ORD200417"/>
    <d v="2023-10-24T00:00:00"/>
    <s v="C44492"/>
    <x v="5"/>
    <n v="5"/>
    <n v="55.41"/>
    <s v="954 Main St"/>
    <x v="1"/>
    <s v="Cancelled"/>
    <s v="TRK51429869"/>
    <n v="5"/>
    <s v="no coupoun"/>
    <s v="Google"/>
    <n v="277.05"/>
    <n v="277.04999999999995"/>
    <s v="Correct"/>
    <x v="3"/>
    <n v="2023"/>
    <s v="Q4"/>
    <s v="Laptop"/>
  </r>
  <r>
    <s v="ORD200418"/>
    <d v="2023-01-11T00:00:00"/>
    <s v="C74169"/>
    <x v="4"/>
    <n v="1"/>
    <n v="310.93"/>
    <s v="862 Main St"/>
    <x v="1"/>
    <s v="Cancelled"/>
    <s v="TRK66144809"/>
    <n v="3"/>
    <s v="no coupoun"/>
    <s v="Facebook"/>
    <n v="310.93"/>
    <n v="310.93"/>
    <s v="Correct"/>
    <x v="0"/>
    <n v="2023"/>
    <s v="Q1"/>
    <s v="Printer"/>
  </r>
  <r>
    <s v="ORD200419"/>
    <d v="2024-04-17T00:00:00"/>
    <s v="C70999"/>
    <x v="2"/>
    <n v="2"/>
    <n v="216.66"/>
    <s v="885 Main St"/>
    <x v="0"/>
    <s v="Pending"/>
    <s v="TRK75644156"/>
    <n v="6"/>
    <s v="FREESHIP"/>
    <s v="Instagram"/>
    <n v="433.32"/>
    <n v="433.32"/>
    <s v="Correct"/>
    <x v="6"/>
    <n v="2024"/>
    <s v="Q2"/>
    <s v="Tablet"/>
  </r>
  <r>
    <s v="ORD200420"/>
    <d v="2024-11-29T00:00:00"/>
    <s v="C11921"/>
    <x v="1"/>
    <n v="1"/>
    <n v="452.7"/>
    <s v="439 Main St"/>
    <x v="0"/>
    <s v="Shipped"/>
    <s v="TRK91362635"/>
    <n v="5"/>
    <s v="FREESHIP"/>
    <s v="Instagram"/>
    <n v="452.7"/>
    <n v="452.7"/>
    <s v="Correct"/>
    <x v="7"/>
    <n v="2024"/>
    <s v="Q4"/>
    <s v="Phone"/>
  </r>
  <r>
    <s v="ORD200421"/>
    <d v="2023-10-15T00:00:00"/>
    <s v="C50683"/>
    <x v="3"/>
    <n v="2"/>
    <n v="288.20999999999998"/>
    <s v="769 Main St"/>
    <x v="0"/>
    <s v="Cancelled"/>
    <s v="TRK53032122"/>
    <n v="5"/>
    <s v="no coupoun"/>
    <s v="Email"/>
    <n v="576.41999999999996"/>
    <n v="576.41999999999996"/>
    <s v="Correct"/>
    <x v="3"/>
    <n v="2023"/>
    <s v="Q4"/>
    <s v="Chair"/>
  </r>
  <r>
    <s v="ORD200422"/>
    <d v="2023-06-05T00:00:00"/>
    <s v="C76140"/>
    <x v="1"/>
    <n v="4"/>
    <n v="206.6"/>
    <s v="914 Main St"/>
    <x v="3"/>
    <s v="Returned"/>
    <s v="TRK25861469"/>
    <n v="6"/>
    <s v="WINTER15"/>
    <s v="Referral"/>
    <n v="826.4"/>
    <n v="826.4"/>
    <s v="Correct"/>
    <x v="5"/>
    <n v="2023"/>
    <s v="Q2"/>
    <s v="Phone"/>
  </r>
  <r>
    <s v="ORD200423"/>
    <d v="2024-07-20T00:00:00"/>
    <s v="C94311"/>
    <x v="4"/>
    <n v="4"/>
    <n v="685.2"/>
    <s v="195 Main St"/>
    <x v="3"/>
    <s v="Cancelled"/>
    <s v="TRK97308771"/>
    <n v="6"/>
    <s v="WINTER15"/>
    <s v="Google"/>
    <n v="2740.8"/>
    <n v="2740.8"/>
    <s v="Correct"/>
    <x v="10"/>
    <n v="2024"/>
    <s v="Q3"/>
    <s v="Printer"/>
  </r>
  <r>
    <s v="ORD200424"/>
    <d v="2023-04-12T00:00:00"/>
    <s v="C49491"/>
    <x v="3"/>
    <n v="5"/>
    <n v="22.94"/>
    <s v="339 Main St"/>
    <x v="4"/>
    <s v="Pending"/>
    <s v="TRK64012257"/>
    <n v="10"/>
    <s v="no coupoun"/>
    <s v="Email"/>
    <n v="114.7"/>
    <n v="114.7"/>
    <s v="Correct"/>
    <x v="6"/>
    <n v="2023"/>
    <s v="Q2"/>
    <s v="Chair"/>
  </r>
  <r>
    <s v="ORD200425"/>
    <d v="2023-03-09T00:00:00"/>
    <s v="C40648"/>
    <x v="5"/>
    <n v="2"/>
    <n v="301.88"/>
    <s v="488 Main St"/>
    <x v="3"/>
    <s v="Returned"/>
    <s v="TRK25325993"/>
    <n v="5"/>
    <s v="WINTER15"/>
    <s v="Email"/>
    <n v="603.76"/>
    <n v="603.76"/>
    <s v="Correct"/>
    <x v="9"/>
    <n v="2023"/>
    <s v="Q1"/>
    <s v="Laptop"/>
  </r>
  <r>
    <s v="ORD200426"/>
    <d v="2025-03-16T00:00:00"/>
    <s v="C40967"/>
    <x v="0"/>
    <n v="5"/>
    <n v="57.45"/>
    <s v="315 Main St"/>
    <x v="4"/>
    <s v="Cancelled"/>
    <s v="TRK24839296"/>
    <n v="10"/>
    <s v="no coupoun"/>
    <s v="Facebook"/>
    <n v="287.25"/>
    <n v="287.25"/>
    <s v="Correct"/>
    <x v="9"/>
    <n v="2025"/>
    <s v="Q1"/>
    <s v="Monitor"/>
  </r>
  <r>
    <s v="ORD200427"/>
    <d v="2024-12-18T00:00:00"/>
    <s v="C25406"/>
    <x v="6"/>
    <n v="1"/>
    <n v="161.24"/>
    <s v="379 Main St"/>
    <x v="2"/>
    <s v="Pending"/>
    <s v="TRK70952564"/>
    <n v="3"/>
    <s v="WINTER15"/>
    <s v="Instagram"/>
    <n v="161.24"/>
    <n v="161.24"/>
    <s v="Correct"/>
    <x v="8"/>
    <n v="2024"/>
    <s v="Q4"/>
    <s v="Desk"/>
  </r>
  <r>
    <s v="ORD200428"/>
    <d v="2024-11-26T00:00:00"/>
    <s v="C77085"/>
    <x v="3"/>
    <n v="4"/>
    <n v="262.58"/>
    <s v="895 Main St"/>
    <x v="1"/>
    <s v="Cancelled"/>
    <s v="TRK57227640"/>
    <n v="8"/>
    <s v="WINTER15"/>
    <s v="Email"/>
    <n v="1050.32"/>
    <n v="1050.32"/>
    <s v="Correct"/>
    <x v="7"/>
    <n v="2024"/>
    <s v="Q4"/>
    <s v="Chair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s v="Facebook"/>
    <n v="2060.7600000000002"/>
    <n v="2060.7600000000002"/>
    <s v="Correct"/>
    <x v="8"/>
    <n v="2024"/>
    <s v="Q4"/>
    <s v="Printer"/>
  </r>
  <r>
    <s v="ORD200430"/>
    <d v="2023-06-07T00:00:00"/>
    <s v="C87448"/>
    <x v="1"/>
    <n v="1"/>
    <n v="450.07"/>
    <s v="433 Main St"/>
    <x v="3"/>
    <s v="Shipped"/>
    <s v="TRK44134016"/>
    <n v="6"/>
    <s v="FREESHIP"/>
    <s v="Google"/>
    <n v="450.07"/>
    <n v="450.07"/>
    <s v="Correct"/>
    <x v="5"/>
    <n v="2023"/>
    <s v="Q2"/>
    <s v="Phone"/>
  </r>
  <r>
    <s v="ORD200431"/>
    <d v="2024-10-06T00:00:00"/>
    <s v="C62312"/>
    <x v="4"/>
    <n v="1"/>
    <n v="52.54"/>
    <s v="651 Main St"/>
    <x v="0"/>
    <s v="Cancelled"/>
    <s v="TRK59623037"/>
    <n v="6"/>
    <s v="WINTER15"/>
    <s v="Facebook"/>
    <n v="52.54"/>
    <n v="52.54"/>
    <s v="Correct"/>
    <x v="3"/>
    <n v="2024"/>
    <s v="Q4"/>
    <s v="Printer"/>
  </r>
  <r>
    <s v="ORD200432"/>
    <d v="2023-09-04T00:00:00"/>
    <s v="C58443"/>
    <x v="2"/>
    <n v="2"/>
    <n v="424.32"/>
    <s v="662 Main St"/>
    <x v="2"/>
    <s v="Returned"/>
    <s v="TRK77163738"/>
    <n v="6"/>
    <s v="no coupoun"/>
    <s v="Referral"/>
    <n v="848.64"/>
    <n v="848.64"/>
    <s v="Correct"/>
    <x v="11"/>
    <n v="2023"/>
    <s v="Q3"/>
    <s v="Tablet"/>
  </r>
  <r>
    <s v="ORD200433"/>
    <d v="2023-08-26T00:00:00"/>
    <s v="C36613"/>
    <x v="0"/>
    <n v="3"/>
    <n v="631.64"/>
    <s v="785 Main St"/>
    <x v="2"/>
    <s v="Returned"/>
    <s v="TRK13282106"/>
    <n v="3"/>
    <s v="FREESHIP"/>
    <s v="Facebook"/>
    <n v="1894.92"/>
    <n v="1894.92"/>
    <s v="Correct"/>
    <x v="1"/>
    <n v="2023"/>
    <s v="Q3"/>
    <s v="Monitor"/>
  </r>
  <r>
    <s v="ORD200434"/>
    <d v="2023-10-22T00:00:00"/>
    <s v="C73893"/>
    <x v="4"/>
    <n v="5"/>
    <n v="327.68"/>
    <s v="384 Main St"/>
    <x v="2"/>
    <s v="Returned"/>
    <s v="TRK85939879"/>
    <n v="6"/>
    <s v="no coupoun"/>
    <s v="Facebook"/>
    <n v="1638.4"/>
    <n v="1638.4"/>
    <s v="Correct"/>
    <x v="3"/>
    <n v="2023"/>
    <s v="Q4"/>
    <s v="Printer"/>
  </r>
  <r>
    <s v="ORD200435"/>
    <d v="2023-05-27T00:00:00"/>
    <s v="C48601"/>
    <x v="4"/>
    <n v="1"/>
    <n v="414.47"/>
    <s v="101 Main St"/>
    <x v="0"/>
    <s v="Returned"/>
    <s v="TRK97868309"/>
    <n v="3"/>
    <s v="FREESHIP"/>
    <s v="Instagram"/>
    <n v="414.47"/>
    <n v="414.47"/>
    <s v="Correct"/>
    <x v="4"/>
    <n v="2023"/>
    <s v="Q2"/>
    <s v="Printer"/>
  </r>
  <r>
    <s v="ORD200436"/>
    <d v="2023-02-11T00:00:00"/>
    <s v="C14568"/>
    <x v="5"/>
    <n v="4"/>
    <n v="221.33"/>
    <s v="651 Main St"/>
    <x v="1"/>
    <s v="Pending"/>
    <s v="TRK73545796"/>
    <n v="5"/>
    <s v="no coupoun"/>
    <s v="Google"/>
    <n v="885.32"/>
    <n v="885.32"/>
    <s v="Correct"/>
    <x v="2"/>
    <n v="2023"/>
    <s v="Q1"/>
    <s v="Laptop"/>
  </r>
  <r>
    <s v="ORD200437"/>
    <d v="2024-04-18T00:00:00"/>
    <s v="C63378"/>
    <x v="1"/>
    <n v="1"/>
    <n v="512.39"/>
    <s v="955 Main St"/>
    <x v="1"/>
    <s v="Delivered"/>
    <s v="TRK20863705"/>
    <n v="2"/>
    <s v="FREESHIP"/>
    <s v="Instagram"/>
    <n v="512.39"/>
    <n v="512.39"/>
    <s v="Correct"/>
    <x v="6"/>
    <n v="2024"/>
    <s v="Q2"/>
    <s v="Phone"/>
  </r>
  <r>
    <s v="ORD200438"/>
    <d v="2025-01-03T00:00:00"/>
    <s v="C77800"/>
    <x v="2"/>
    <n v="3"/>
    <n v="459.34"/>
    <s v="436 Main St"/>
    <x v="3"/>
    <s v="Pending"/>
    <s v="TRK27439574"/>
    <n v="3"/>
    <s v="SAVE10"/>
    <s v="Instagram"/>
    <n v="1378.02"/>
    <n v="1378.02"/>
    <s v="Correct"/>
    <x v="0"/>
    <n v="2025"/>
    <s v="Q1"/>
    <s v="Tablet"/>
  </r>
  <r>
    <s v="ORD200439"/>
    <d v="2024-09-08T00:00:00"/>
    <s v="C91155"/>
    <x v="2"/>
    <n v="1"/>
    <n v="146.32"/>
    <s v="321 Main St"/>
    <x v="1"/>
    <s v="Shipped"/>
    <s v="TRK36260319"/>
    <n v="4"/>
    <s v="WINTER15"/>
    <s v="Facebook"/>
    <n v="146.32"/>
    <n v="146.32"/>
    <s v="Correct"/>
    <x v="11"/>
    <n v="2024"/>
    <s v="Q3"/>
    <s v="Tablet"/>
  </r>
  <r>
    <s v="ORD200440"/>
    <d v="2024-11-05T00:00:00"/>
    <s v="C60215"/>
    <x v="6"/>
    <n v="4"/>
    <n v="83.6"/>
    <s v="978 Main St"/>
    <x v="0"/>
    <s v="Pending"/>
    <s v="TRK31727767"/>
    <n v="4"/>
    <s v="SAVE10"/>
    <s v="Facebook"/>
    <n v="334.4"/>
    <n v="334.4"/>
    <s v="Correct"/>
    <x v="7"/>
    <n v="2024"/>
    <s v="Q4"/>
    <s v="Desk"/>
  </r>
  <r>
    <s v="ORD200441"/>
    <d v="2023-12-13T00:00:00"/>
    <s v="C52915"/>
    <x v="4"/>
    <n v="2"/>
    <n v="328.54"/>
    <s v="475 Main St"/>
    <x v="3"/>
    <s v="Returned"/>
    <s v="TRK79466982"/>
    <n v="6"/>
    <s v="FREESHIP"/>
    <s v="Email"/>
    <n v="657.08"/>
    <n v="657.08"/>
    <s v="Correct"/>
    <x v="8"/>
    <n v="2023"/>
    <s v="Q4"/>
    <s v="Printer"/>
  </r>
  <r>
    <s v="ORD200442"/>
    <d v="2024-05-06T00:00:00"/>
    <s v="C72588"/>
    <x v="3"/>
    <n v="5"/>
    <n v="314.94"/>
    <s v="661 Main St"/>
    <x v="4"/>
    <s v="Pending"/>
    <s v="TRK43410829"/>
    <n v="8"/>
    <s v="SAVE10"/>
    <s v="Instagram"/>
    <n v="1574.7"/>
    <n v="1574.7"/>
    <s v="Correct"/>
    <x v="4"/>
    <n v="2024"/>
    <s v="Q2"/>
    <s v="Chair"/>
  </r>
  <r>
    <s v="ORD200443"/>
    <d v="2024-05-14T00:00:00"/>
    <s v="C61668"/>
    <x v="3"/>
    <n v="2"/>
    <n v="69.64"/>
    <s v="813 Main St"/>
    <x v="4"/>
    <s v="Returned"/>
    <s v="TRK58970302"/>
    <n v="6"/>
    <s v="no coupoun"/>
    <s v="Facebook"/>
    <n v="139.28"/>
    <n v="139.28"/>
    <s v="Correct"/>
    <x v="4"/>
    <n v="2024"/>
    <s v="Q2"/>
    <s v="Chair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s v="Instagram"/>
    <n v="135.16999999999999"/>
    <n v="135.16999999999999"/>
    <s v="Correct"/>
    <x v="5"/>
    <n v="2024"/>
    <s v="Q2"/>
    <s v="Printer"/>
  </r>
  <r>
    <s v="ORD200445"/>
    <d v="2024-03-23T00:00:00"/>
    <s v="C94569"/>
    <x v="1"/>
    <n v="1"/>
    <n v="487.21"/>
    <s v="227 Main St"/>
    <x v="4"/>
    <s v="Delivered"/>
    <s v="TRK31351770"/>
    <n v="3"/>
    <s v="SAVE10"/>
    <s v="Referral"/>
    <n v="487.21"/>
    <n v="487.21"/>
    <s v="Correct"/>
    <x v="9"/>
    <n v="2024"/>
    <s v="Q1"/>
    <s v="Phone"/>
  </r>
  <r>
    <s v="ORD200446"/>
    <d v="2023-10-18T00:00:00"/>
    <s v="C89592"/>
    <x v="5"/>
    <n v="5"/>
    <n v="509.58"/>
    <s v="262 Main St"/>
    <x v="1"/>
    <s v="Delivered"/>
    <s v="TRK49442402"/>
    <n v="6"/>
    <s v="FREESHIP"/>
    <s v="Instagram"/>
    <n v="2547.9"/>
    <n v="2547.9"/>
    <s v="Correct"/>
    <x v="3"/>
    <n v="2023"/>
    <s v="Q4"/>
    <s v="Laptop"/>
  </r>
  <r>
    <s v="ORD200447"/>
    <d v="2024-04-07T00:00:00"/>
    <s v="C48207"/>
    <x v="4"/>
    <n v="2"/>
    <n v="416.81"/>
    <s v="356 Main St"/>
    <x v="4"/>
    <s v="Returned"/>
    <s v="TRK45355655"/>
    <n v="2"/>
    <s v="no coupoun"/>
    <s v="Facebook"/>
    <n v="833.62"/>
    <n v="833.62"/>
    <s v="Correct"/>
    <x v="6"/>
    <n v="2024"/>
    <s v="Q2"/>
    <s v="Printer"/>
  </r>
  <r>
    <s v="ORD200448"/>
    <d v="2023-09-04T00:00:00"/>
    <s v="C16776"/>
    <x v="5"/>
    <n v="2"/>
    <n v="160"/>
    <s v="854 Main St"/>
    <x v="4"/>
    <s v="Pending"/>
    <s v="TRK12860600"/>
    <n v="4"/>
    <s v="no coupoun"/>
    <s v="Instagram"/>
    <n v="320"/>
    <n v="320"/>
    <s v="Correct"/>
    <x v="11"/>
    <n v="2023"/>
    <s v="Q3"/>
    <s v="Laptop"/>
  </r>
  <r>
    <s v="ORD200449"/>
    <d v="2024-08-26T00:00:00"/>
    <s v="C91518"/>
    <x v="2"/>
    <n v="3"/>
    <n v="253.05"/>
    <s v="286 Main St"/>
    <x v="1"/>
    <s v="Pending"/>
    <s v="TRK48688724"/>
    <n v="3"/>
    <s v="no coupoun"/>
    <s v="Instagram"/>
    <n v="759.15000000000009"/>
    <n v="759.15000000000009"/>
    <s v="Correct"/>
    <x v="1"/>
    <n v="2024"/>
    <s v="Q3"/>
    <s v="Tablet"/>
  </r>
  <r>
    <s v="ORD200450"/>
    <d v="2024-01-15T00:00:00"/>
    <s v="C36408"/>
    <x v="0"/>
    <n v="5"/>
    <n v="615.1"/>
    <s v="160 Main St"/>
    <x v="3"/>
    <s v="Returned"/>
    <s v="TRK94023253"/>
    <n v="10"/>
    <s v="WINTER15"/>
    <s v="Instagram"/>
    <n v="3075.5"/>
    <n v="3075.5"/>
    <s v="Correct"/>
    <x v="0"/>
    <n v="2024"/>
    <s v="Q1"/>
    <s v="Monitor"/>
  </r>
  <r>
    <s v="ORD200451"/>
    <d v="2023-04-01T00:00:00"/>
    <s v="C14837"/>
    <x v="0"/>
    <n v="1"/>
    <n v="183.18"/>
    <s v="647 Main St"/>
    <x v="0"/>
    <s v="Cancelled"/>
    <s v="TRK17501136"/>
    <n v="6"/>
    <s v="SAVE10"/>
    <s v="Email"/>
    <n v="183.18"/>
    <n v="183.18"/>
    <s v="Correct"/>
    <x v="6"/>
    <n v="2023"/>
    <s v="Q2"/>
    <s v="Monitor"/>
  </r>
  <r>
    <s v="ORD200452"/>
    <d v="2023-07-23T00:00:00"/>
    <s v="C36467"/>
    <x v="4"/>
    <n v="1"/>
    <n v="75.78"/>
    <s v="581 Main St"/>
    <x v="4"/>
    <s v="Pending"/>
    <s v="TRK20863987"/>
    <n v="5"/>
    <s v="SAVE10"/>
    <s v="Google"/>
    <n v="75.78"/>
    <n v="75.78"/>
    <s v="Correct"/>
    <x v="10"/>
    <n v="2023"/>
    <s v="Q3"/>
    <s v="Printer"/>
  </r>
  <r>
    <s v="ORD200453"/>
    <d v="2025-05-02T00:00:00"/>
    <s v="C15017"/>
    <x v="2"/>
    <n v="1"/>
    <n v="675.57"/>
    <s v="492 Main St"/>
    <x v="4"/>
    <s v="Shipped"/>
    <s v="TRK51241924"/>
    <n v="1"/>
    <s v="WINTER15"/>
    <s v="Facebook"/>
    <n v="675.57"/>
    <n v="675.57"/>
    <s v="Correct"/>
    <x v="4"/>
    <n v="2025"/>
    <s v="Q2"/>
    <s v="Tablet"/>
  </r>
  <r>
    <s v="ORD200454"/>
    <d v="2024-11-27T00:00:00"/>
    <s v="C54759"/>
    <x v="5"/>
    <n v="1"/>
    <n v="109.29"/>
    <s v="686 Main St"/>
    <x v="0"/>
    <s v="Cancelled"/>
    <s v="TRK75583042"/>
    <n v="5"/>
    <s v="FREESHIP"/>
    <s v="Google"/>
    <n v="109.29"/>
    <n v="109.29"/>
    <s v="Correct"/>
    <x v="7"/>
    <n v="2024"/>
    <s v="Q4"/>
    <s v="Laptop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s v="Referral"/>
    <n v="639.83000000000004"/>
    <n v="639.83000000000004"/>
    <s v="Correct"/>
    <x v="9"/>
    <n v="2024"/>
    <s v="Q1"/>
    <s v="Phone"/>
  </r>
  <r>
    <s v="ORD200456"/>
    <d v="2023-06-26T00:00:00"/>
    <s v="C94479"/>
    <x v="6"/>
    <n v="5"/>
    <n v="62.81"/>
    <s v="259 Main St"/>
    <x v="2"/>
    <s v="Shipped"/>
    <s v="TRK69089975"/>
    <n v="9"/>
    <s v="SAVE10"/>
    <s v="Facebook"/>
    <n v="314.05"/>
    <n v="314.05"/>
    <s v="Correct"/>
    <x v="5"/>
    <n v="2023"/>
    <s v="Q2"/>
    <s v="Desk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s v="Instagram"/>
    <n v="2463.3200000000002"/>
    <n v="2463.3200000000002"/>
    <s v="Correct"/>
    <x v="4"/>
    <n v="2025"/>
    <s v="Q2"/>
    <s v="Desk"/>
  </r>
  <r>
    <s v="ORD200458"/>
    <d v="2024-07-02T00:00:00"/>
    <s v="C31412"/>
    <x v="0"/>
    <n v="4"/>
    <n v="510.58"/>
    <s v="196 Main St"/>
    <x v="2"/>
    <s v="Returned"/>
    <s v="TRK61946127"/>
    <n v="7"/>
    <s v="WINTER15"/>
    <s v="Email"/>
    <n v="2042.32"/>
    <n v="2042.32"/>
    <s v="Correct"/>
    <x v="10"/>
    <n v="2024"/>
    <s v="Q3"/>
    <s v="Monitor"/>
  </r>
  <r>
    <s v="ORD200459"/>
    <d v="2024-07-24T00:00:00"/>
    <s v="C90142"/>
    <x v="6"/>
    <n v="1"/>
    <n v="334.39"/>
    <s v="433 Main St"/>
    <x v="2"/>
    <s v="Returned"/>
    <s v="TRK39717191"/>
    <n v="2"/>
    <s v="no coupoun"/>
    <s v="Instagram"/>
    <n v="334.39"/>
    <n v="334.39"/>
    <s v="Correct"/>
    <x v="10"/>
    <n v="2024"/>
    <s v="Q3"/>
    <s v="Desk"/>
  </r>
  <r>
    <s v="ORD200460"/>
    <d v="2024-10-06T00:00:00"/>
    <s v="C83548"/>
    <x v="5"/>
    <n v="1"/>
    <n v="144.25"/>
    <s v="474 Main St"/>
    <x v="4"/>
    <s v="Returned"/>
    <s v="TRK93822942"/>
    <n v="2"/>
    <s v="WINTER15"/>
    <s v="Referral"/>
    <n v="144.25"/>
    <n v="144.25"/>
    <s v="Correct"/>
    <x v="3"/>
    <n v="2024"/>
    <s v="Q4"/>
    <s v="Laptop"/>
  </r>
  <r>
    <s v="ORD200461"/>
    <d v="2024-06-08T00:00:00"/>
    <s v="C29697"/>
    <x v="2"/>
    <n v="1"/>
    <n v="401.82"/>
    <s v="407 Main St"/>
    <x v="2"/>
    <s v="Shipped"/>
    <s v="TRK47776482"/>
    <n v="5"/>
    <s v="FREESHIP"/>
    <s v="Google"/>
    <n v="401.82"/>
    <n v="401.82"/>
    <s v="Correct"/>
    <x v="5"/>
    <n v="2024"/>
    <s v="Q2"/>
    <s v="Tablet"/>
  </r>
  <r>
    <s v="ORD200462"/>
    <d v="2025-03-31T00:00:00"/>
    <s v="C22991"/>
    <x v="1"/>
    <n v="1"/>
    <n v="252.68"/>
    <s v="731 Main St"/>
    <x v="1"/>
    <s v="Cancelled"/>
    <s v="TRK32796086"/>
    <n v="1"/>
    <s v="no coupoun"/>
    <s v="Referral"/>
    <n v="252.68"/>
    <n v="252.68"/>
    <s v="Correct"/>
    <x v="9"/>
    <n v="2025"/>
    <s v="Q1"/>
    <s v="Phone"/>
  </r>
  <r>
    <s v="ORD200463"/>
    <d v="2023-05-26T00:00:00"/>
    <s v="C25276"/>
    <x v="5"/>
    <n v="5"/>
    <n v="662.78"/>
    <s v="214 Main St"/>
    <x v="0"/>
    <s v="Shipped"/>
    <s v="TRK14011732"/>
    <n v="9"/>
    <s v="SAVE10"/>
    <s v="Instagram"/>
    <n v="3313.9"/>
    <n v="3313.8999999999996"/>
    <s v="Correct"/>
    <x v="4"/>
    <n v="2023"/>
    <s v="Q2"/>
    <s v="Laptop"/>
  </r>
  <r>
    <s v="ORD200464"/>
    <d v="2023-03-14T00:00:00"/>
    <s v="C39176"/>
    <x v="2"/>
    <n v="4"/>
    <n v="434.42"/>
    <s v="739 Main St"/>
    <x v="1"/>
    <s v="Cancelled"/>
    <s v="TRK71418686"/>
    <n v="6"/>
    <s v="FREESHIP"/>
    <s v="Google"/>
    <n v="1737.68"/>
    <n v="1737.68"/>
    <s v="Correct"/>
    <x v="9"/>
    <n v="2023"/>
    <s v="Q1"/>
    <s v="Tablet"/>
  </r>
  <r>
    <s v="ORD200465"/>
    <d v="2024-02-26T00:00:00"/>
    <s v="C58773"/>
    <x v="4"/>
    <n v="5"/>
    <n v="513.49"/>
    <s v="391 Main St"/>
    <x v="3"/>
    <s v="Cancelled"/>
    <s v="TRK65438300"/>
    <n v="8"/>
    <s v="no coupoun"/>
    <s v="Google"/>
    <n v="2567.4499999999998"/>
    <n v="2567.4499999999998"/>
    <s v="Correct"/>
    <x v="2"/>
    <n v="2024"/>
    <s v="Q1"/>
    <s v="Printer"/>
  </r>
  <r>
    <s v="ORD200466"/>
    <d v="2023-07-18T00:00:00"/>
    <s v="C37412"/>
    <x v="1"/>
    <n v="1"/>
    <n v="432.47"/>
    <s v="895 Main St"/>
    <x v="4"/>
    <s v="Delivered"/>
    <s v="TRK97829604"/>
    <n v="4"/>
    <s v="FREESHIP"/>
    <s v="Referral"/>
    <n v="432.47"/>
    <n v="432.47"/>
    <s v="Correct"/>
    <x v="10"/>
    <n v="2023"/>
    <s v="Q3"/>
    <s v="Phone"/>
  </r>
  <r>
    <s v="ORD200467"/>
    <d v="2024-08-30T00:00:00"/>
    <s v="C36492"/>
    <x v="6"/>
    <n v="1"/>
    <n v="45.94"/>
    <s v="572 Main St"/>
    <x v="4"/>
    <s v="Cancelled"/>
    <s v="TRK44350440"/>
    <n v="2"/>
    <s v="WINTER15"/>
    <s v="Email"/>
    <n v="45.94"/>
    <n v="45.94"/>
    <s v="Correct"/>
    <x v="1"/>
    <n v="2024"/>
    <s v="Q3"/>
    <s v="Desk"/>
  </r>
  <r>
    <s v="ORD200468"/>
    <d v="2025-06-21T00:00:00"/>
    <s v="C90110"/>
    <x v="1"/>
    <n v="1"/>
    <n v="418.36"/>
    <s v="998 Main St"/>
    <x v="2"/>
    <s v="Delivered"/>
    <s v="TRK60203957"/>
    <n v="5"/>
    <s v="FREESHIP"/>
    <s v="Email"/>
    <n v="418.36"/>
    <n v="418.36"/>
    <s v="Correct"/>
    <x v="5"/>
    <n v="2025"/>
    <s v="Q2"/>
    <s v="Phone"/>
  </r>
  <r>
    <s v="ORD200469"/>
    <d v="2023-11-26T00:00:00"/>
    <s v="C13877"/>
    <x v="3"/>
    <n v="5"/>
    <n v="676.98"/>
    <s v="893 Main St"/>
    <x v="4"/>
    <s v="Cancelled"/>
    <s v="TRK17254691"/>
    <n v="5"/>
    <s v="no coupoun"/>
    <s v="Facebook"/>
    <n v="3384.9"/>
    <n v="3384.9"/>
    <s v="Correct"/>
    <x v="7"/>
    <n v="2023"/>
    <s v="Q4"/>
    <s v="Chair"/>
  </r>
  <r>
    <s v="ORD200470"/>
    <d v="2023-09-29T00:00:00"/>
    <s v="C25149"/>
    <x v="2"/>
    <n v="4"/>
    <n v="263.62"/>
    <s v="672 Main St"/>
    <x v="4"/>
    <s v="Shipped"/>
    <s v="TRK33538608"/>
    <n v="5"/>
    <s v="SAVE10"/>
    <s v="Email"/>
    <n v="1054.48"/>
    <n v="1054.48"/>
    <s v="Correct"/>
    <x v="11"/>
    <n v="2023"/>
    <s v="Q3"/>
    <s v="Tablet"/>
  </r>
  <r>
    <s v="ORD200471"/>
    <d v="2025-04-19T00:00:00"/>
    <s v="C52717"/>
    <x v="6"/>
    <n v="5"/>
    <n v="551.27"/>
    <s v="395 Main St"/>
    <x v="1"/>
    <s v="Cancelled"/>
    <s v="TRK27625571"/>
    <n v="7"/>
    <s v="FREESHIP"/>
    <s v="Referral"/>
    <n v="2756.35"/>
    <n v="2756.35"/>
    <s v="Correct"/>
    <x v="6"/>
    <n v="2025"/>
    <s v="Q2"/>
    <s v="Desk"/>
  </r>
  <r>
    <s v="ORD200472"/>
    <d v="2023-01-06T00:00:00"/>
    <s v="C60029"/>
    <x v="3"/>
    <n v="3"/>
    <n v="508.12"/>
    <s v="796 Main St"/>
    <x v="2"/>
    <s v="Cancelled"/>
    <s v="TRK86461316"/>
    <n v="8"/>
    <s v="FREESHIP"/>
    <s v="Referral"/>
    <n v="1524.36"/>
    <n v="1524.3600000000001"/>
    <s v="Correct"/>
    <x v="0"/>
    <n v="2023"/>
    <s v="Q1"/>
    <s v="Chair"/>
  </r>
  <r>
    <s v="ORD200473"/>
    <d v="2025-02-25T00:00:00"/>
    <s v="C28552"/>
    <x v="3"/>
    <n v="2"/>
    <n v="14.93"/>
    <s v="449 Main St"/>
    <x v="1"/>
    <s v="Shipped"/>
    <s v="TRK71597160"/>
    <n v="4"/>
    <s v="no coupoun"/>
    <s v="Facebook"/>
    <n v="29.86"/>
    <n v="29.86"/>
    <s v="Correct"/>
    <x v="2"/>
    <n v="2025"/>
    <s v="Q1"/>
    <s v="Chair"/>
  </r>
  <r>
    <s v="ORD200474"/>
    <d v="2023-11-15T00:00:00"/>
    <s v="C72293"/>
    <x v="4"/>
    <n v="3"/>
    <n v="229.34"/>
    <s v="398 Main St"/>
    <x v="2"/>
    <s v="Shipped"/>
    <s v="TRK84378003"/>
    <n v="6"/>
    <s v="SAVE10"/>
    <s v="Referral"/>
    <n v="688.02"/>
    <n v="688.02"/>
    <s v="Correct"/>
    <x v="7"/>
    <n v="2023"/>
    <s v="Q4"/>
    <s v="Printer"/>
  </r>
  <r>
    <s v="ORD200475"/>
    <d v="2025-04-19T00:00:00"/>
    <s v="C29844"/>
    <x v="2"/>
    <n v="2"/>
    <n v="438.62"/>
    <s v="363 Main St"/>
    <x v="4"/>
    <s v="Cancelled"/>
    <s v="TRK91642337"/>
    <n v="3"/>
    <s v="SAVE10"/>
    <s v="Facebook"/>
    <n v="877.24"/>
    <n v="877.24"/>
    <s v="Correct"/>
    <x v="6"/>
    <n v="2025"/>
    <s v="Q2"/>
    <s v="Tablet"/>
  </r>
  <r>
    <s v="ORD200476"/>
    <d v="2024-01-15T00:00:00"/>
    <s v="C77872"/>
    <x v="1"/>
    <n v="2"/>
    <n v="513.59"/>
    <s v="867 Main St"/>
    <x v="1"/>
    <s v="Returned"/>
    <s v="TRK19292184"/>
    <n v="4"/>
    <s v="FREESHIP"/>
    <s v="Referral"/>
    <n v="1027.18"/>
    <n v="1027.18"/>
    <s v="Correct"/>
    <x v="0"/>
    <n v="2024"/>
    <s v="Q1"/>
    <s v="Phone"/>
  </r>
  <r>
    <s v="ORD200477"/>
    <d v="2025-03-05T00:00:00"/>
    <s v="C56564"/>
    <x v="1"/>
    <n v="2"/>
    <n v="253.74"/>
    <s v="481 Main St"/>
    <x v="1"/>
    <s v="Shipped"/>
    <s v="TRK13166044"/>
    <n v="5"/>
    <s v="SAVE10"/>
    <s v="Google"/>
    <n v="507.48"/>
    <n v="507.48"/>
    <s v="Correct"/>
    <x v="9"/>
    <n v="2025"/>
    <s v="Q1"/>
    <s v="Phone"/>
  </r>
  <r>
    <s v="ORD200478"/>
    <d v="2024-11-01T00:00:00"/>
    <s v="C16758"/>
    <x v="2"/>
    <n v="3"/>
    <n v="62.77"/>
    <s v="914 Main St"/>
    <x v="3"/>
    <s v="Shipped"/>
    <s v="TRK88544431"/>
    <n v="6"/>
    <s v="FREESHIP"/>
    <s v="Referral"/>
    <n v="188.31"/>
    <n v="188.31"/>
    <s v="Correct"/>
    <x v="7"/>
    <n v="2024"/>
    <s v="Q4"/>
    <s v="Tablet"/>
  </r>
  <r>
    <s v="ORD200479"/>
    <d v="2023-02-18T00:00:00"/>
    <s v="C87011"/>
    <x v="0"/>
    <n v="4"/>
    <n v="25.29"/>
    <s v="943 Main St"/>
    <x v="2"/>
    <s v="Pending"/>
    <s v="TRK21429162"/>
    <n v="8"/>
    <s v="no coupoun"/>
    <s v="Google"/>
    <n v="101.16"/>
    <n v="101.16"/>
    <s v="Correct"/>
    <x v="2"/>
    <n v="2023"/>
    <s v="Q1"/>
    <s v="Monitor"/>
  </r>
  <r>
    <s v="ORD200480"/>
    <d v="2023-06-16T00:00:00"/>
    <s v="C21147"/>
    <x v="3"/>
    <n v="1"/>
    <n v="335.1"/>
    <s v="126 Main St"/>
    <x v="0"/>
    <s v="Pending"/>
    <s v="TRK93171043"/>
    <n v="6"/>
    <s v="FREESHIP"/>
    <s v="Referral"/>
    <n v="335.1"/>
    <n v="335.1"/>
    <s v="Correct"/>
    <x v="5"/>
    <n v="2023"/>
    <s v="Q2"/>
    <s v="Chair"/>
  </r>
  <r>
    <s v="ORD200481"/>
    <d v="2023-04-23T00:00:00"/>
    <s v="C94568"/>
    <x v="5"/>
    <n v="4"/>
    <n v="484.85"/>
    <s v="317 Main St"/>
    <x v="0"/>
    <s v="Delivered"/>
    <s v="TRK58653915"/>
    <n v="5"/>
    <s v="WINTER15"/>
    <s v="Referral"/>
    <n v="1939.4"/>
    <n v="1939.4"/>
    <s v="Correct"/>
    <x v="6"/>
    <n v="2023"/>
    <s v="Q2"/>
    <s v="Laptop"/>
  </r>
  <r>
    <s v="ORD200482"/>
    <d v="2025-03-02T00:00:00"/>
    <s v="C35852"/>
    <x v="0"/>
    <n v="3"/>
    <n v="381.41"/>
    <s v="989 Main St"/>
    <x v="1"/>
    <s v="Pending"/>
    <s v="TRK22302049"/>
    <n v="6"/>
    <s v="no coupoun"/>
    <s v="Instagram"/>
    <n v="1144.23"/>
    <n v="1144.23"/>
    <s v="Correct"/>
    <x v="9"/>
    <n v="2025"/>
    <s v="Q1"/>
    <s v="Monitor"/>
  </r>
  <r>
    <s v="ORD200483"/>
    <d v="2023-01-18T00:00:00"/>
    <s v="C66462"/>
    <x v="1"/>
    <n v="5"/>
    <n v="347.92"/>
    <s v="982 Main St"/>
    <x v="4"/>
    <s v="Pending"/>
    <s v="TRK52743700"/>
    <n v="6"/>
    <s v="WINTER15"/>
    <s v="Google"/>
    <n v="1739.6"/>
    <n v="1739.6000000000001"/>
    <s v="Correct"/>
    <x v="0"/>
    <n v="2023"/>
    <s v="Q1"/>
    <s v="Phone"/>
  </r>
  <r>
    <s v="ORD200484"/>
    <d v="2024-05-29T00:00:00"/>
    <s v="C29092"/>
    <x v="3"/>
    <n v="4"/>
    <n v="15.01"/>
    <s v="767 Main St"/>
    <x v="4"/>
    <s v="Cancelled"/>
    <s v="TRK90455340"/>
    <n v="6"/>
    <s v="no coupoun"/>
    <s v="Facebook"/>
    <n v="60.04"/>
    <n v="60.04"/>
    <s v="Correct"/>
    <x v="4"/>
    <n v="2024"/>
    <s v="Q2"/>
    <s v="Chair"/>
  </r>
  <r>
    <s v="ORD200485"/>
    <d v="2023-08-01T00:00:00"/>
    <s v="C46651"/>
    <x v="3"/>
    <n v="3"/>
    <n v="404.79"/>
    <s v="764 Main St"/>
    <x v="4"/>
    <s v="Shipped"/>
    <s v="TRK67679195"/>
    <n v="6"/>
    <s v="SAVE10"/>
    <s v="Instagram"/>
    <n v="1214.3699999999999"/>
    <n v="1214.3700000000001"/>
    <s v="Correct"/>
    <x v="1"/>
    <n v="2023"/>
    <s v="Q3"/>
    <s v="Chair"/>
  </r>
  <r>
    <s v="ORD200486"/>
    <d v="2023-02-03T00:00:00"/>
    <s v="C88981"/>
    <x v="4"/>
    <n v="4"/>
    <n v="611.26"/>
    <s v="558 Main St"/>
    <x v="4"/>
    <s v="Shipped"/>
    <s v="TRK75267873"/>
    <n v="5"/>
    <s v="SAVE10"/>
    <s v="Referral"/>
    <n v="2445.04"/>
    <n v="2445.04"/>
    <s v="Correct"/>
    <x v="2"/>
    <n v="2023"/>
    <s v="Q1"/>
    <s v="Printer"/>
  </r>
  <r>
    <s v="ORD200487"/>
    <d v="2023-03-09T00:00:00"/>
    <s v="C40136"/>
    <x v="4"/>
    <n v="3"/>
    <n v="346.52"/>
    <s v="211 Main St"/>
    <x v="2"/>
    <s v="Pending"/>
    <s v="TRK92924852"/>
    <n v="3"/>
    <s v="SAVE10"/>
    <s v="Google"/>
    <n v="1039.56"/>
    <n v="1039.56"/>
    <s v="Correct"/>
    <x v="9"/>
    <n v="2023"/>
    <s v="Q1"/>
    <s v="Printer"/>
  </r>
  <r>
    <s v="ORD200488"/>
    <d v="2024-12-05T00:00:00"/>
    <s v="C81573"/>
    <x v="3"/>
    <n v="1"/>
    <n v="36.65"/>
    <s v="556 Main St"/>
    <x v="1"/>
    <s v="Cancelled"/>
    <s v="TRK96522994"/>
    <n v="1"/>
    <s v="WINTER15"/>
    <s v="Email"/>
    <n v="36.65"/>
    <n v="36.65"/>
    <s v="Correct"/>
    <x v="8"/>
    <n v="2024"/>
    <s v="Q4"/>
    <s v="Chair"/>
  </r>
  <r>
    <s v="ORD200489"/>
    <d v="2023-09-05T00:00:00"/>
    <s v="C11940"/>
    <x v="2"/>
    <n v="3"/>
    <n v="149.34"/>
    <s v="589 Main St"/>
    <x v="3"/>
    <s v="Cancelled"/>
    <s v="TRK85466461"/>
    <n v="7"/>
    <s v="WINTER15"/>
    <s v="Email"/>
    <n v="448.02"/>
    <n v="448.02"/>
    <s v="Correct"/>
    <x v="11"/>
    <n v="2023"/>
    <s v="Q3"/>
    <s v="Tablet"/>
  </r>
  <r>
    <s v="ORD200490"/>
    <d v="2024-07-22T00:00:00"/>
    <s v="C50097"/>
    <x v="3"/>
    <n v="5"/>
    <n v="467.81"/>
    <s v="539 Main St"/>
    <x v="1"/>
    <s v="Cancelled"/>
    <s v="TRK62785150"/>
    <n v="10"/>
    <s v="no coupoun"/>
    <s v="Facebook"/>
    <n v="2339.0500000000002"/>
    <n v="2339.0500000000002"/>
    <s v="Correct"/>
    <x v="10"/>
    <n v="2024"/>
    <s v="Q3"/>
    <s v="Chair"/>
  </r>
  <r>
    <s v="ORD200491"/>
    <d v="2023-01-05T00:00:00"/>
    <s v="C98168"/>
    <x v="1"/>
    <n v="5"/>
    <n v="420.7"/>
    <s v="481 Main St"/>
    <x v="4"/>
    <s v="Pending"/>
    <s v="TRK56423359"/>
    <n v="5"/>
    <s v="WINTER15"/>
    <s v="Facebook"/>
    <n v="2103.5"/>
    <n v="2103.5"/>
    <s v="Correct"/>
    <x v="0"/>
    <n v="2023"/>
    <s v="Q1"/>
    <s v="Phone"/>
  </r>
  <r>
    <s v="ORD200492"/>
    <d v="2023-10-25T00:00:00"/>
    <s v="C39074"/>
    <x v="5"/>
    <n v="5"/>
    <n v="606.52"/>
    <s v="103 Main St"/>
    <x v="0"/>
    <s v="Shipped"/>
    <s v="TRK13027036"/>
    <n v="6"/>
    <s v="SAVE10"/>
    <s v="Instagram"/>
    <n v="3032.6"/>
    <n v="3032.6"/>
    <s v="Correct"/>
    <x v="3"/>
    <n v="2023"/>
    <s v="Q4"/>
    <s v="Laptop"/>
  </r>
  <r>
    <s v="ORD200493"/>
    <d v="2025-01-28T00:00:00"/>
    <s v="C84908"/>
    <x v="1"/>
    <n v="1"/>
    <n v="420.26"/>
    <s v="372 Main St"/>
    <x v="2"/>
    <s v="Pending"/>
    <s v="TRK64135970"/>
    <n v="4"/>
    <s v="FREESHIP"/>
    <s v="Facebook"/>
    <n v="420.26"/>
    <n v="420.26"/>
    <s v="Correct"/>
    <x v="0"/>
    <n v="2025"/>
    <s v="Q1"/>
    <s v="Phone"/>
  </r>
  <r>
    <s v="ORD200494"/>
    <d v="2023-07-19T00:00:00"/>
    <s v="C64516"/>
    <x v="5"/>
    <n v="3"/>
    <n v="505.79"/>
    <s v="459 Main St"/>
    <x v="0"/>
    <s v="Pending"/>
    <s v="TRK63920573"/>
    <n v="3"/>
    <s v="FREESHIP"/>
    <s v="Referral"/>
    <n v="1517.37"/>
    <n v="1517.3700000000001"/>
    <s v="Correct"/>
    <x v="10"/>
    <n v="2023"/>
    <s v="Q3"/>
    <s v="Laptop"/>
  </r>
  <r>
    <s v="ORD200495"/>
    <d v="2025-06-05T00:00:00"/>
    <s v="C63827"/>
    <x v="1"/>
    <n v="4"/>
    <n v="493.73"/>
    <s v="947 Main St"/>
    <x v="0"/>
    <s v="Pending"/>
    <s v="TRK35730581"/>
    <n v="6"/>
    <s v="SAVE10"/>
    <s v="Facebook"/>
    <n v="1974.92"/>
    <n v="1974.92"/>
    <s v="Correct"/>
    <x v="5"/>
    <n v="2025"/>
    <s v="Q2"/>
    <s v="Phone"/>
  </r>
  <r>
    <s v="ORD200496"/>
    <d v="2025-03-14T00:00:00"/>
    <s v="C93618"/>
    <x v="4"/>
    <n v="3"/>
    <n v="201.21"/>
    <s v="249 Main St"/>
    <x v="1"/>
    <s v="Cancelled"/>
    <s v="TRK66129326"/>
    <n v="3"/>
    <s v="SAVE10"/>
    <s v="Google"/>
    <n v="603.63"/>
    <n v="603.63"/>
    <s v="Correct"/>
    <x v="9"/>
    <n v="2025"/>
    <s v="Q1"/>
    <s v="Printer"/>
  </r>
  <r>
    <s v="ORD200497"/>
    <d v="2024-10-24T00:00:00"/>
    <s v="C93948"/>
    <x v="4"/>
    <n v="3"/>
    <n v="112.29"/>
    <s v="454 Main St"/>
    <x v="3"/>
    <s v="Shipped"/>
    <s v="TRK77358113"/>
    <n v="6"/>
    <s v="no coupoun"/>
    <s v="Google"/>
    <n v="336.87"/>
    <n v="336.87"/>
    <s v="Correct"/>
    <x v="3"/>
    <n v="2024"/>
    <s v="Q4"/>
    <s v="Printer"/>
  </r>
  <r>
    <s v="ORD200498"/>
    <d v="2023-07-12T00:00:00"/>
    <s v="C73961"/>
    <x v="2"/>
    <n v="4"/>
    <n v="132.56"/>
    <s v="306 Main St"/>
    <x v="4"/>
    <s v="Returned"/>
    <s v="TRK32607173"/>
    <n v="8"/>
    <s v="WINTER15"/>
    <s v="Instagram"/>
    <n v="530.24"/>
    <n v="530.24"/>
    <s v="Correct"/>
    <x v="10"/>
    <n v="2023"/>
    <s v="Q3"/>
    <s v="Tablet"/>
  </r>
  <r>
    <s v="ORD200499"/>
    <d v="2023-04-06T00:00:00"/>
    <s v="C18138"/>
    <x v="4"/>
    <n v="3"/>
    <n v="539.46"/>
    <s v="520 Main St"/>
    <x v="2"/>
    <s v="Shipped"/>
    <s v="TRK20289483"/>
    <n v="4"/>
    <s v="SAVE10"/>
    <s v="Facebook"/>
    <n v="1618.38"/>
    <n v="1618.38"/>
    <s v="Correct"/>
    <x v="6"/>
    <n v="2023"/>
    <s v="Q2"/>
    <s v="Printer"/>
  </r>
  <r>
    <s v="ORD200500"/>
    <d v="2024-04-07T00:00:00"/>
    <s v="C79475"/>
    <x v="5"/>
    <n v="5"/>
    <n v="508.59"/>
    <s v="169 Main St"/>
    <x v="4"/>
    <s v="Returned"/>
    <s v="TRK42168516"/>
    <n v="8"/>
    <s v="WINTER15"/>
    <s v="Facebook"/>
    <n v="2542.9499999999998"/>
    <n v="2542.9499999999998"/>
    <s v="Correct"/>
    <x v="6"/>
    <n v="2024"/>
    <s v="Q2"/>
    <s v="Laptop"/>
  </r>
  <r>
    <s v="ORD200501"/>
    <d v="2024-02-04T00:00:00"/>
    <s v="C88546"/>
    <x v="6"/>
    <n v="4"/>
    <n v="203.46"/>
    <s v="226 Main St"/>
    <x v="2"/>
    <s v="Pending"/>
    <s v="TRK19867754"/>
    <n v="7"/>
    <s v="SAVE10"/>
    <s v="Referral"/>
    <n v="813.84"/>
    <n v="813.84"/>
    <s v="Correct"/>
    <x v="2"/>
    <n v="2024"/>
    <s v="Q1"/>
    <s v="Desk"/>
  </r>
  <r>
    <s v="ORD200502"/>
    <d v="2023-05-20T00:00:00"/>
    <s v="C69332"/>
    <x v="0"/>
    <n v="3"/>
    <n v="565.25"/>
    <s v="745 Main St"/>
    <x v="0"/>
    <s v="Returned"/>
    <s v="TRK65718848"/>
    <n v="7"/>
    <s v="SAVE10"/>
    <s v="Email"/>
    <n v="1695.75"/>
    <n v="1695.75"/>
    <s v="Correct"/>
    <x v="4"/>
    <n v="2023"/>
    <s v="Q2"/>
    <s v="Monitor"/>
  </r>
  <r>
    <s v="ORD200503"/>
    <d v="2023-08-31T00:00:00"/>
    <s v="C64554"/>
    <x v="2"/>
    <n v="3"/>
    <n v="136.84"/>
    <s v="498 Main St"/>
    <x v="1"/>
    <s v="Pending"/>
    <s v="TRK95384568"/>
    <n v="4"/>
    <s v="FREESHIP"/>
    <s v="Facebook"/>
    <n v="410.52"/>
    <n v="410.52"/>
    <s v="Correct"/>
    <x v="1"/>
    <n v="2023"/>
    <s v="Q3"/>
    <s v="Tablet"/>
  </r>
  <r>
    <s v="ORD200504"/>
    <d v="2025-06-11T00:00:00"/>
    <s v="C11676"/>
    <x v="0"/>
    <n v="2"/>
    <n v="464.5"/>
    <s v="805 Main St"/>
    <x v="1"/>
    <s v="Cancelled"/>
    <s v="TRK35726395"/>
    <n v="2"/>
    <s v="WINTER15"/>
    <s v="Instagram"/>
    <n v="929"/>
    <n v="929"/>
    <s v="Correct"/>
    <x v="5"/>
    <n v="2025"/>
    <s v="Q2"/>
    <s v="Monitor"/>
  </r>
  <r>
    <s v="ORD200505"/>
    <d v="2023-06-11T00:00:00"/>
    <s v="C36014"/>
    <x v="4"/>
    <n v="2"/>
    <n v="434.97"/>
    <s v="558 Main St"/>
    <x v="1"/>
    <s v="Shipped"/>
    <s v="TRK97246526"/>
    <n v="7"/>
    <s v="no coupoun"/>
    <s v="Email"/>
    <n v="869.94"/>
    <n v="869.94"/>
    <s v="Correct"/>
    <x v="5"/>
    <n v="2023"/>
    <s v="Q2"/>
    <s v="Printer"/>
  </r>
  <r>
    <s v="ORD200506"/>
    <d v="2023-07-25T00:00:00"/>
    <s v="C23279"/>
    <x v="0"/>
    <n v="2"/>
    <n v="43.67"/>
    <s v="696 Main St"/>
    <x v="4"/>
    <s v="Returned"/>
    <s v="TRK58039693"/>
    <n v="4"/>
    <s v="WINTER15"/>
    <s v="Instagram"/>
    <n v="87.34"/>
    <n v="87.34"/>
    <s v="Correct"/>
    <x v="10"/>
    <n v="2023"/>
    <s v="Q3"/>
    <s v="Monitor"/>
  </r>
  <r>
    <s v="ORD200507"/>
    <d v="2023-07-05T00:00:00"/>
    <s v="C86481"/>
    <x v="1"/>
    <n v="1"/>
    <n v="171.59"/>
    <s v="546 Main St"/>
    <x v="2"/>
    <s v="Pending"/>
    <s v="TRK87513944"/>
    <n v="5"/>
    <s v="WINTER15"/>
    <s v="Email"/>
    <n v="171.59"/>
    <n v="171.59"/>
    <s v="Correct"/>
    <x v="10"/>
    <n v="2023"/>
    <s v="Q3"/>
    <s v="Phone"/>
  </r>
  <r>
    <s v="ORD200508"/>
    <d v="2025-05-14T00:00:00"/>
    <s v="C39550"/>
    <x v="1"/>
    <n v="1"/>
    <n v="558.27"/>
    <s v="976 Main St"/>
    <x v="1"/>
    <s v="Delivered"/>
    <s v="TRK24120267"/>
    <n v="1"/>
    <s v="no coupoun"/>
    <s v="Referral"/>
    <n v="558.27"/>
    <n v="558.27"/>
    <s v="Correct"/>
    <x v="4"/>
    <n v="2025"/>
    <s v="Q2"/>
    <s v="Phone"/>
  </r>
  <r>
    <s v="ORD200509"/>
    <d v="2023-02-15T00:00:00"/>
    <s v="C68937"/>
    <x v="5"/>
    <n v="2"/>
    <n v="425.03"/>
    <s v="560 Main St"/>
    <x v="4"/>
    <s v="Returned"/>
    <s v="TRK31908657"/>
    <n v="2"/>
    <s v="WINTER15"/>
    <s v="Google"/>
    <n v="850.06"/>
    <n v="850.06"/>
    <s v="Correct"/>
    <x v="2"/>
    <n v="2023"/>
    <s v="Q1"/>
    <s v="Laptop"/>
  </r>
  <r>
    <s v="ORD200510"/>
    <d v="2024-12-16T00:00:00"/>
    <s v="C72533"/>
    <x v="4"/>
    <n v="1"/>
    <n v="376.76"/>
    <s v="389 Main St"/>
    <x v="0"/>
    <s v="Delivered"/>
    <s v="TRK51288986"/>
    <n v="5"/>
    <s v="SAVE10"/>
    <s v="Email"/>
    <n v="376.76"/>
    <n v="376.76"/>
    <s v="Correct"/>
    <x v="8"/>
    <n v="2024"/>
    <s v="Q4"/>
    <s v="Printer"/>
  </r>
  <r>
    <s v="ORD200511"/>
    <d v="2024-03-15T00:00:00"/>
    <s v="C11415"/>
    <x v="0"/>
    <n v="5"/>
    <n v="575.24"/>
    <s v="267 Main St"/>
    <x v="4"/>
    <s v="Delivered"/>
    <s v="TRK65061457"/>
    <n v="7"/>
    <s v="WINTER15"/>
    <s v="Email"/>
    <n v="2876.2"/>
    <n v="2876.2"/>
    <s v="Correct"/>
    <x v="9"/>
    <n v="2024"/>
    <s v="Q1"/>
    <s v="Monitor"/>
  </r>
  <r>
    <s v="ORD200512"/>
    <d v="2024-09-27T00:00:00"/>
    <s v="C14114"/>
    <x v="6"/>
    <n v="3"/>
    <n v="568.02"/>
    <s v="856 Main St"/>
    <x v="1"/>
    <s v="Pending"/>
    <s v="TRK63290700"/>
    <n v="3"/>
    <s v="FREESHIP"/>
    <s v="Instagram"/>
    <n v="1704.06"/>
    <n v="1704.06"/>
    <s v="Correct"/>
    <x v="11"/>
    <n v="2024"/>
    <s v="Q3"/>
    <s v="Desk"/>
  </r>
  <r>
    <s v="ORD200513"/>
    <d v="2025-02-09T00:00:00"/>
    <s v="C64128"/>
    <x v="2"/>
    <n v="3"/>
    <n v="94.88"/>
    <s v="533 Main St"/>
    <x v="3"/>
    <s v="Shipped"/>
    <s v="TRK37053575"/>
    <n v="8"/>
    <s v="no coupoun"/>
    <s v="Referral"/>
    <n v="284.64"/>
    <n v="284.64"/>
    <s v="Correct"/>
    <x v="2"/>
    <n v="2025"/>
    <s v="Q1"/>
    <s v="Tablet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s v="Instagram"/>
    <n v="912.44999999999993"/>
    <n v="912.44999999999993"/>
    <s v="Correct"/>
    <x v="6"/>
    <n v="2023"/>
    <s v="Q2"/>
    <s v="Printer"/>
  </r>
  <r>
    <s v="ORD200515"/>
    <d v="2023-03-14T00:00:00"/>
    <s v="C67561"/>
    <x v="1"/>
    <n v="3"/>
    <n v="553.52"/>
    <s v="160 Main St"/>
    <x v="3"/>
    <s v="Shipped"/>
    <s v="TRK75900717"/>
    <n v="4"/>
    <s v="FREESHIP"/>
    <s v="Facebook"/>
    <n v="1660.56"/>
    <n v="1660.56"/>
    <s v="Correct"/>
    <x v="9"/>
    <n v="2023"/>
    <s v="Q1"/>
    <s v="Phone"/>
  </r>
  <r>
    <s v="ORD200516"/>
    <d v="2024-04-07T00:00:00"/>
    <s v="C47022"/>
    <x v="0"/>
    <n v="3"/>
    <n v="166.99"/>
    <s v="208 Main St"/>
    <x v="4"/>
    <s v="Returned"/>
    <s v="TRK28855040"/>
    <n v="8"/>
    <s v="no coupoun"/>
    <s v="Facebook"/>
    <n v="500.97"/>
    <n v="500.97"/>
    <s v="Correct"/>
    <x v="6"/>
    <n v="2024"/>
    <s v="Q2"/>
    <s v="Monitor"/>
  </r>
  <r>
    <s v="ORD200517"/>
    <d v="2024-04-09T00:00:00"/>
    <s v="C55205"/>
    <x v="2"/>
    <n v="4"/>
    <n v="198.35"/>
    <s v="943 Main St"/>
    <x v="4"/>
    <s v="Cancelled"/>
    <s v="TRK88141634"/>
    <n v="7"/>
    <s v="FREESHIP"/>
    <s v="Google"/>
    <n v="793.4"/>
    <n v="793.4"/>
    <s v="Correct"/>
    <x v="6"/>
    <n v="2024"/>
    <s v="Q2"/>
    <s v="Tablet"/>
  </r>
  <r>
    <s v="ORD200518"/>
    <d v="2025-06-13T00:00:00"/>
    <s v="C30686"/>
    <x v="4"/>
    <n v="4"/>
    <n v="403.58"/>
    <s v="319 Main St"/>
    <x v="1"/>
    <s v="Pending"/>
    <s v="TRK59807273"/>
    <n v="9"/>
    <s v="SAVE10"/>
    <s v="Referral"/>
    <n v="1614.32"/>
    <n v="1614.32"/>
    <s v="Correct"/>
    <x v="5"/>
    <n v="2025"/>
    <s v="Q2"/>
    <s v="Printer"/>
  </r>
  <r>
    <s v="ORD200519"/>
    <d v="2025-05-10T00:00:00"/>
    <s v="C71797"/>
    <x v="5"/>
    <n v="4"/>
    <n v="464.29"/>
    <s v="941 Main St"/>
    <x v="0"/>
    <s v="Returned"/>
    <s v="TRK66010667"/>
    <n v="5"/>
    <s v="SAVE10"/>
    <s v="Email"/>
    <n v="1857.16"/>
    <n v="1857.16"/>
    <s v="Correct"/>
    <x v="4"/>
    <n v="2025"/>
    <s v="Q2"/>
    <s v="Laptop"/>
  </r>
  <r>
    <s v="ORD200520"/>
    <d v="2023-03-10T00:00:00"/>
    <s v="C66332"/>
    <x v="0"/>
    <n v="3"/>
    <n v="635.98"/>
    <s v="959 Main St"/>
    <x v="4"/>
    <s v="Returned"/>
    <s v="TRK27063398"/>
    <n v="5"/>
    <s v="no coupoun"/>
    <s v="Referral"/>
    <n v="1907.94"/>
    <n v="1907.94"/>
    <s v="Correct"/>
    <x v="9"/>
    <n v="2023"/>
    <s v="Q1"/>
    <s v="Monitor"/>
  </r>
  <r>
    <s v="ORD200521"/>
    <d v="2024-02-25T00:00:00"/>
    <s v="C82318"/>
    <x v="1"/>
    <n v="1"/>
    <n v="528.05999999999995"/>
    <s v="991 Main St"/>
    <x v="2"/>
    <s v="Shipped"/>
    <s v="TRK37534165"/>
    <n v="2"/>
    <s v="no coupoun"/>
    <s v="Facebook"/>
    <n v="528.05999999999995"/>
    <n v="528.05999999999995"/>
    <s v="Correct"/>
    <x v="2"/>
    <n v="2024"/>
    <s v="Q1"/>
    <s v="Phone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s v="Email"/>
    <n v="515.32000000000005"/>
    <n v="515.32000000000005"/>
    <s v="Correct"/>
    <x v="6"/>
    <n v="2024"/>
    <s v="Q2"/>
    <s v="Chair"/>
  </r>
  <r>
    <s v="ORD200523"/>
    <d v="2025-02-18T00:00:00"/>
    <s v="C65083"/>
    <x v="6"/>
    <n v="4"/>
    <n v="657.79"/>
    <s v="652 Main St"/>
    <x v="2"/>
    <s v="Returned"/>
    <s v="TRK60937148"/>
    <n v="6"/>
    <s v="WINTER15"/>
    <s v="Google"/>
    <n v="2631.16"/>
    <n v="2631.16"/>
    <s v="Correct"/>
    <x v="2"/>
    <n v="2025"/>
    <s v="Q1"/>
    <s v="Desk"/>
  </r>
  <r>
    <s v="ORD200524"/>
    <d v="2023-10-25T00:00:00"/>
    <s v="C44778"/>
    <x v="1"/>
    <n v="1"/>
    <n v="153"/>
    <s v="103 Main St"/>
    <x v="2"/>
    <s v="Returned"/>
    <s v="TRK92617366"/>
    <n v="4"/>
    <s v="no coupoun"/>
    <s v="Referral"/>
    <n v="153"/>
    <n v="153"/>
    <s v="Correct"/>
    <x v="3"/>
    <n v="2023"/>
    <s v="Q4"/>
    <s v="Phone"/>
  </r>
  <r>
    <s v="ORD200525"/>
    <d v="2023-12-03T00:00:00"/>
    <s v="C54499"/>
    <x v="0"/>
    <n v="1"/>
    <n v="668.48"/>
    <s v="160 Main St"/>
    <x v="0"/>
    <s v="Shipped"/>
    <s v="TRK18061555"/>
    <n v="1"/>
    <s v="SAVE10"/>
    <s v="Email"/>
    <n v="668.48"/>
    <n v="668.48"/>
    <s v="Correct"/>
    <x v="8"/>
    <n v="2023"/>
    <s v="Q4"/>
    <s v="Monitor"/>
  </r>
  <r>
    <s v="ORD200526"/>
    <d v="2024-02-29T00:00:00"/>
    <s v="C91201"/>
    <x v="6"/>
    <n v="2"/>
    <n v="46.5"/>
    <s v="837 Main St"/>
    <x v="4"/>
    <s v="Returned"/>
    <s v="TRK63526023"/>
    <n v="7"/>
    <s v="WINTER15"/>
    <s v="Google"/>
    <n v="93"/>
    <n v="93"/>
    <s v="Correct"/>
    <x v="2"/>
    <n v="2024"/>
    <s v="Q1"/>
    <s v="Desk"/>
  </r>
  <r>
    <s v="ORD200527"/>
    <d v="2024-08-19T00:00:00"/>
    <s v="C27202"/>
    <x v="3"/>
    <n v="5"/>
    <n v="653.47"/>
    <s v="967 Main St"/>
    <x v="2"/>
    <s v="Cancelled"/>
    <s v="TRK75406128"/>
    <n v="10"/>
    <s v="SAVE10"/>
    <s v="Referral"/>
    <n v="3267.35"/>
    <n v="3267.3500000000004"/>
    <s v="Correct"/>
    <x v="1"/>
    <n v="2024"/>
    <s v="Q3"/>
    <s v="Chair"/>
  </r>
  <r>
    <s v="ORD200528"/>
    <d v="2025-02-26T00:00:00"/>
    <s v="C32011"/>
    <x v="3"/>
    <n v="1"/>
    <n v="628.89"/>
    <s v="686 Main St"/>
    <x v="2"/>
    <s v="Returned"/>
    <s v="TRK70997744"/>
    <n v="2"/>
    <s v="SAVE10"/>
    <s v="Referral"/>
    <n v="628.89"/>
    <n v="628.89"/>
    <s v="Correct"/>
    <x v="2"/>
    <n v="2025"/>
    <s v="Q1"/>
    <s v="Chair"/>
  </r>
  <r>
    <s v="ORD200529"/>
    <d v="2024-04-07T00:00:00"/>
    <s v="C21181"/>
    <x v="2"/>
    <n v="2"/>
    <n v="675.1"/>
    <s v="938 Main St"/>
    <x v="4"/>
    <s v="Pending"/>
    <s v="TRK50363421"/>
    <n v="4"/>
    <s v="FREESHIP"/>
    <s v="Google"/>
    <n v="1350.2"/>
    <n v="1350.2"/>
    <s v="Correct"/>
    <x v="6"/>
    <n v="2024"/>
    <s v="Q2"/>
    <s v="Tablet"/>
  </r>
  <r>
    <s v="ORD200530"/>
    <d v="2024-07-18T00:00:00"/>
    <s v="C98450"/>
    <x v="3"/>
    <n v="4"/>
    <n v="89.41"/>
    <s v="613 Main St"/>
    <x v="1"/>
    <s v="Pending"/>
    <s v="TRK14809530"/>
    <n v="9"/>
    <s v="no coupoun"/>
    <s v="Google"/>
    <n v="357.64"/>
    <n v="357.64"/>
    <s v="Correct"/>
    <x v="10"/>
    <n v="2024"/>
    <s v="Q3"/>
    <s v="Chair"/>
  </r>
  <r>
    <s v="ORD200531"/>
    <d v="2024-07-02T00:00:00"/>
    <s v="C64502"/>
    <x v="6"/>
    <n v="5"/>
    <n v="320.01"/>
    <s v="722 Main St"/>
    <x v="3"/>
    <s v="Delivered"/>
    <s v="TRK14914388"/>
    <n v="6"/>
    <s v="no coupoun"/>
    <s v="Referral"/>
    <n v="1600.05"/>
    <n v="1600.05"/>
    <s v="Correct"/>
    <x v="10"/>
    <n v="2024"/>
    <s v="Q3"/>
    <s v="Desk"/>
  </r>
  <r>
    <s v="ORD200532"/>
    <d v="2025-05-03T00:00:00"/>
    <s v="C47365"/>
    <x v="5"/>
    <n v="2"/>
    <n v="41"/>
    <s v="369 Main St"/>
    <x v="1"/>
    <s v="Delivered"/>
    <s v="TRK42207882"/>
    <n v="7"/>
    <s v="no coupoun"/>
    <s v="Email"/>
    <n v="82"/>
    <n v="82"/>
    <s v="Correct"/>
    <x v="4"/>
    <n v="2025"/>
    <s v="Q2"/>
    <s v="Laptop"/>
  </r>
  <r>
    <s v="ORD200533"/>
    <d v="2023-03-05T00:00:00"/>
    <s v="C66349"/>
    <x v="6"/>
    <n v="1"/>
    <n v="565.85"/>
    <s v="715 Main St"/>
    <x v="3"/>
    <s v="Returned"/>
    <s v="TRK63550793"/>
    <n v="1"/>
    <s v="FREESHIP"/>
    <s v="Facebook"/>
    <n v="565.85"/>
    <n v="565.85"/>
    <s v="Correct"/>
    <x v="9"/>
    <n v="2023"/>
    <s v="Q1"/>
    <s v="Desk"/>
  </r>
  <r>
    <s v="ORD200534"/>
    <d v="2024-06-06T00:00:00"/>
    <s v="C73289"/>
    <x v="3"/>
    <n v="3"/>
    <n v="648.59"/>
    <s v="906 Main St"/>
    <x v="0"/>
    <s v="Cancelled"/>
    <s v="TRK70872738"/>
    <n v="4"/>
    <s v="SAVE10"/>
    <s v="Email"/>
    <n v="1945.77"/>
    <n v="1945.77"/>
    <s v="Correct"/>
    <x v="5"/>
    <n v="2024"/>
    <s v="Q2"/>
    <s v="Chair"/>
  </r>
  <r>
    <s v="ORD200535"/>
    <d v="2024-07-24T00:00:00"/>
    <s v="C48649"/>
    <x v="0"/>
    <n v="3"/>
    <n v="68.12"/>
    <s v="332 Main St"/>
    <x v="1"/>
    <s v="Cancelled"/>
    <s v="TRK45821445"/>
    <n v="3"/>
    <s v="FREESHIP"/>
    <s v="Email"/>
    <n v="204.36"/>
    <n v="204.36"/>
    <s v="Correct"/>
    <x v="10"/>
    <n v="2024"/>
    <s v="Q3"/>
    <s v="Monitor"/>
  </r>
  <r>
    <s v="ORD200536"/>
    <d v="2024-06-09T00:00:00"/>
    <s v="C18724"/>
    <x v="3"/>
    <n v="1"/>
    <n v="616.1"/>
    <s v="124 Main St"/>
    <x v="4"/>
    <s v="Returned"/>
    <s v="TRK52508861"/>
    <n v="6"/>
    <s v="no coupoun"/>
    <s v="Email"/>
    <n v="616.1"/>
    <n v="616.1"/>
    <s v="Correct"/>
    <x v="5"/>
    <n v="2024"/>
    <s v="Q2"/>
    <s v="Chair"/>
  </r>
  <r>
    <s v="ORD200537"/>
    <d v="2025-03-23T00:00:00"/>
    <s v="C68553"/>
    <x v="2"/>
    <n v="3"/>
    <n v="247.47"/>
    <s v="385 Main St"/>
    <x v="1"/>
    <s v="Delivered"/>
    <s v="TRK58218971"/>
    <n v="4"/>
    <s v="SAVE10"/>
    <s v="Facebook"/>
    <n v="742.41"/>
    <n v="742.41"/>
    <s v="Correct"/>
    <x v="9"/>
    <n v="2025"/>
    <s v="Q1"/>
    <s v="Tablet"/>
  </r>
  <r>
    <s v="ORD200538"/>
    <d v="2024-05-24T00:00:00"/>
    <s v="C61280"/>
    <x v="1"/>
    <n v="3"/>
    <n v="490.74"/>
    <s v="100 Main St"/>
    <x v="4"/>
    <s v="Shipped"/>
    <s v="TRK95487711"/>
    <n v="3"/>
    <s v="WINTER15"/>
    <s v="Email"/>
    <n v="1472.22"/>
    <n v="1472.22"/>
    <s v="Correct"/>
    <x v="4"/>
    <n v="2024"/>
    <s v="Q2"/>
    <s v="Phone"/>
  </r>
  <r>
    <s v="ORD200539"/>
    <d v="2025-02-18T00:00:00"/>
    <s v="C53277"/>
    <x v="6"/>
    <n v="3"/>
    <n v="531.72"/>
    <s v="473 Main St"/>
    <x v="3"/>
    <s v="Delivered"/>
    <s v="TRK17653832"/>
    <n v="7"/>
    <s v="SAVE10"/>
    <s v="Google"/>
    <n v="1595.16"/>
    <n v="1595.16"/>
    <s v="Correct"/>
    <x v="2"/>
    <n v="2025"/>
    <s v="Q1"/>
    <s v="Desk"/>
  </r>
  <r>
    <s v="ORD200540"/>
    <d v="2024-01-29T00:00:00"/>
    <s v="C87281"/>
    <x v="5"/>
    <n v="5"/>
    <n v="648.65"/>
    <s v="852 Main St"/>
    <x v="1"/>
    <s v="Pending"/>
    <s v="TRK81765057"/>
    <n v="7"/>
    <s v="no coupoun"/>
    <s v="Referral"/>
    <n v="3243.25"/>
    <n v="3243.25"/>
    <s v="Correct"/>
    <x v="0"/>
    <n v="2024"/>
    <s v="Q1"/>
    <s v="Laptop"/>
  </r>
  <r>
    <s v="ORD200541"/>
    <d v="2023-08-07T00:00:00"/>
    <s v="C69009"/>
    <x v="4"/>
    <n v="5"/>
    <n v="456.06"/>
    <s v="879 Main St"/>
    <x v="4"/>
    <s v="Pending"/>
    <s v="TRK61295842"/>
    <n v="10"/>
    <s v="no coupoun"/>
    <s v="Instagram"/>
    <n v="2280.3000000000002"/>
    <n v="2280.3000000000002"/>
    <s v="Correct"/>
    <x v="1"/>
    <n v="2023"/>
    <s v="Q3"/>
    <s v="Printer"/>
  </r>
  <r>
    <s v="ORD200542"/>
    <d v="2023-11-14T00:00:00"/>
    <s v="C49726"/>
    <x v="2"/>
    <n v="1"/>
    <n v="17.98"/>
    <s v="934 Main St"/>
    <x v="4"/>
    <s v="Cancelled"/>
    <s v="TRK20739460"/>
    <n v="6"/>
    <s v="FREESHIP"/>
    <s v="Email"/>
    <n v="17.98"/>
    <n v="17.98"/>
    <s v="Correct"/>
    <x v="7"/>
    <n v="2023"/>
    <s v="Q4"/>
    <s v="Tablet"/>
  </r>
  <r>
    <s v="ORD200543"/>
    <d v="2024-03-09T00:00:00"/>
    <s v="C37531"/>
    <x v="6"/>
    <n v="5"/>
    <n v="269.86"/>
    <s v="354 Main St"/>
    <x v="4"/>
    <s v="Shipped"/>
    <s v="TRK93877673"/>
    <n v="6"/>
    <s v="WINTER15"/>
    <s v="Facebook"/>
    <n v="1349.3"/>
    <n v="1349.3000000000002"/>
    <s v="Correct"/>
    <x v="9"/>
    <n v="2024"/>
    <s v="Q1"/>
    <s v="Desk"/>
  </r>
  <r>
    <s v="ORD200544"/>
    <d v="2024-03-10T00:00:00"/>
    <s v="C48713"/>
    <x v="4"/>
    <n v="5"/>
    <n v="31.96"/>
    <s v="373 Main St"/>
    <x v="2"/>
    <s v="Returned"/>
    <s v="TRK96334419"/>
    <n v="5"/>
    <s v="FREESHIP"/>
    <s v="Referral"/>
    <n v="159.80000000000001"/>
    <n v="159.80000000000001"/>
    <s v="Correct"/>
    <x v="9"/>
    <n v="2024"/>
    <s v="Q1"/>
    <s v="Printer"/>
  </r>
  <r>
    <s v="ORD200545"/>
    <d v="2023-12-19T00:00:00"/>
    <s v="C74138"/>
    <x v="0"/>
    <n v="2"/>
    <n v="98.47"/>
    <s v="964 Main St"/>
    <x v="4"/>
    <s v="Returned"/>
    <s v="TRK74091695"/>
    <n v="3"/>
    <s v="no coupoun"/>
    <s v="Instagram"/>
    <n v="196.94"/>
    <n v="196.94"/>
    <s v="Correct"/>
    <x v="8"/>
    <n v="2023"/>
    <s v="Q4"/>
    <s v="Monitor"/>
  </r>
  <r>
    <s v="ORD200546"/>
    <d v="2024-03-01T00:00:00"/>
    <s v="C82399"/>
    <x v="0"/>
    <n v="1"/>
    <n v="158.68"/>
    <s v="928 Main St"/>
    <x v="2"/>
    <s v="Returned"/>
    <s v="TRK77177284"/>
    <n v="6"/>
    <s v="WINTER15"/>
    <s v="Instagram"/>
    <n v="158.68"/>
    <n v="158.68"/>
    <s v="Correct"/>
    <x v="9"/>
    <n v="2024"/>
    <s v="Q1"/>
    <s v="Monitor"/>
  </r>
  <r>
    <s v="ORD200547"/>
    <d v="2023-08-20T00:00:00"/>
    <s v="C40427"/>
    <x v="1"/>
    <n v="1"/>
    <n v="613.98"/>
    <s v="411 Main St"/>
    <x v="1"/>
    <s v="Delivered"/>
    <s v="TRK25392280"/>
    <n v="4"/>
    <s v="FREESHIP"/>
    <s v="Facebook"/>
    <n v="613.98"/>
    <n v="613.98"/>
    <s v="Correct"/>
    <x v="1"/>
    <n v="2023"/>
    <s v="Q3"/>
    <s v="Phone"/>
  </r>
  <r>
    <s v="ORD200548"/>
    <d v="2024-01-05T00:00:00"/>
    <s v="C17103"/>
    <x v="4"/>
    <n v="3"/>
    <n v="426.12"/>
    <s v="922 Main St"/>
    <x v="1"/>
    <s v="Delivered"/>
    <s v="TRK64398650"/>
    <n v="5"/>
    <s v="WINTER15"/>
    <s v="Instagram"/>
    <n v="1278.3599999999999"/>
    <n v="1278.3600000000001"/>
    <s v="Correct"/>
    <x v="0"/>
    <n v="2024"/>
    <s v="Q1"/>
    <s v="Printer"/>
  </r>
  <r>
    <s v="ORD200549"/>
    <d v="2025-02-25T00:00:00"/>
    <s v="C34266"/>
    <x v="0"/>
    <n v="4"/>
    <n v="629.88"/>
    <s v="550 Main St"/>
    <x v="0"/>
    <s v="Cancelled"/>
    <s v="TRK56378197"/>
    <n v="8"/>
    <s v="WINTER15"/>
    <s v="Instagram"/>
    <n v="2519.52"/>
    <n v="2519.52"/>
    <s v="Correct"/>
    <x v="2"/>
    <n v="2025"/>
    <s v="Q1"/>
    <s v="Monitor"/>
  </r>
  <r>
    <s v="ORD200550"/>
    <d v="2023-10-29T00:00:00"/>
    <s v="C97485"/>
    <x v="5"/>
    <n v="4"/>
    <n v="228.91"/>
    <s v="573 Main St"/>
    <x v="4"/>
    <s v="Shipped"/>
    <s v="TRK81794737"/>
    <n v="4"/>
    <s v="FREESHIP"/>
    <s v="Google"/>
    <n v="915.64"/>
    <n v="915.64"/>
    <s v="Correct"/>
    <x v="3"/>
    <n v="2023"/>
    <s v="Q4"/>
    <s v="Laptop"/>
  </r>
  <r>
    <s v="ORD200551"/>
    <d v="2023-05-18T00:00:00"/>
    <s v="C23947"/>
    <x v="5"/>
    <n v="1"/>
    <n v="120.98"/>
    <s v="353 Main St"/>
    <x v="0"/>
    <s v="Delivered"/>
    <s v="TRK74812710"/>
    <n v="6"/>
    <s v="WINTER15"/>
    <s v="Email"/>
    <n v="120.98"/>
    <n v="120.98"/>
    <s v="Correct"/>
    <x v="4"/>
    <n v="2023"/>
    <s v="Q2"/>
    <s v="Laptop"/>
  </r>
  <r>
    <s v="ORD200552"/>
    <d v="2023-09-30T00:00:00"/>
    <s v="C21665"/>
    <x v="3"/>
    <n v="4"/>
    <n v="425.18"/>
    <s v="560 Main St"/>
    <x v="1"/>
    <s v="Returned"/>
    <s v="TRK29890761"/>
    <n v="8"/>
    <s v="WINTER15"/>
    <s v="Facebook"/>
    <n v="1700.72"/>
    <n v="1700.72"/>
    <s v="Correct"/>
    <x v="11"/>
    <n v="2023"/>
    <s v="Q3"/>
    <s v="Chair"/>
  </r>
  <r>
    <s v="ORD200553"/>
    <d v="2023-08-23T00:00:00"/>
    <s v="C82550"/>
    <x v="1"/>
    <n v="2"/>
    <n v="333.83"/>
    <s v="828 Main St"/>
    <x v="3"/>
    <s v="Cancelled"/>
    <s v="TRK74103758"/>
    <n v="4"/>
    <s v="FREESHIP"/>
    <s v="Referral"/>
    <n v="667.66"/>
    <n v="667.66"/>
    <s v="Correct"/>
    <x v="1"/>
    <n v="2023"/>
    <s v="Q3"/>
    <s v="Phone"/>
  </r>
  <r>
    <s v="ORD200554"/>
    <d v="2025-05-30T00:00:00"/>
    <s v="C61943"/>
    <x v="5"/>
    <n v="2"/>
    <n v="492.9"/>
    <s v="610 Main St"/>
    <x v="4"/>
    <s v="Returned"/>
    <s v="TRK66126496"/>
    <n v="5"/>
    <s v="FREESHIP"/>
    <s v="Instagram"/>
    <n v="985.8"/>
    <n v="985.8"/>
    <s v="Correct"/>
    <x v="4"/>
    <n v="2025"/>
    <s v="Q2"/>
    <s v="Laptop"/>
  </r>
  <r>
    <s v="ORD200555"/>
    <d v="2023-01-07T00:00:00"/>
    <s v="C88933"/>
    <x v="2"/>
    <n v="1"/>
    <n v="92.04"/>
    <s v="333 Main St"/>
    <x v="4"/>
    <s v="Shipped"/>
    <s v="TRK89306964"/>
    <n v="2"/>
    <s v="no coupoun"/>
    <s v="Facebook"/>
    <n v="92.04"/>
    <n v="92.04"/>
    <s v="Correct"/>
    <x v="0"/>
    <n v="2023"/>
    <s v="Q1"/>
    <s v="Tablet"/>
  </r>
  <r>
    <s v="ORD200556"/>
    <d v="2023-01-28T00:00:00"/>
    <s v="C30923"/>
    <x v="5"/>
    <n v="1"/>
    <n v="654.27"/>
    <s v="932 Main St"/>
    <x v="3"/>
    <s v="Pending"/>
    <s v="TRK82609328"/>
    <n v="2"/>
    <s v="SAVE10"/>
    <s v="Facebook"/>
    <n v="654.27"/>
    <n v="654.27"/>
    <s v="Correct"/>
    <x v="0"/>
    <n v="2023"/>
    <s v="Q1"/>
    <s v="Laptop"/>
  </r>
  <r>
    <s v="ORD200557"/>
    <d v="2023-06-29T00:00:00"/>
    <s v="C56969"/>
    <x v="2"/>
    <n v="1"/>
    <n v="56.2"/>
    <s v="130 Main St"/>
    <x v="0"/>
    <s v="Pending"/>
    <s v="TRK40719215"/>
    <n v="1"/>
    <s v="WINTER15"/>
    <s v="Facebook"/>
    <n v="56.2"/>
    <n v="56.2"/>
    <s v="Correct"/>
    <x v="5"/>
    <n v="2023"/>
    <s v="Q2"/>
    <s v="Tablet"/>
  </r>
  <r>
    <s v="ORD200558"/>
    <d v="2024-07-16T00:00:00"/>
    <s v="C76766"/>
    <x v="1"/>
    <n v="4"/>
    <n v="628.12"/>
    <s v="485 Main St"/>
    <x v="1"/>
    <s v="Delivered"/>
    <s v="TRK32052962"/>
    <n v="6"/>
    <s v="WINTER15"/>
    <s v="Instagram"/>
    <n v="2512.48"/>
    <n v="2512.48"/>
    <s v="Correct"/>
    <x v="10"/>
    <n v="2024"/>
    <s v="Q3"/>
    <s v="Phone"/>
  </r>
  <r>
    <s v="ORD200559"/>
    <d v="2024-04-15T00:00:00"/>
    <s v="C22981"/>
    <x v="6"/>
    <n v="3"/>
    <n v="157.4"/>
    <s v="454 Main St"/>
    <x v="0"/>
    <s v="Cancelled"/>
    <s v="TRK10115285"/>
    <n v="7"/>
    <s v="WINTER15"/>
    <s v="Email"/>
    <n v="472.2"/>
    <n v="472.20000000000005"/>
    <s v="Correct"/>
    <x v="6"/>
    <n v="2024"/>
    <s v="Q2"/>
    <s v="Desk"/>
  </r>
  <r>
    <s v="ORD200560"/>
    <d v="2023-01-31T00:00:00"/>
    <s v="C33634"/>
    <x v="0"/>
    <n v="4"/>
    <n v="588.85"/>
    <s v="524 Main St"/>
    <x v="3"/>
    <s v="Pending"/>
    <s v="TRK93168008"/>
    <n v="7"/>
    <s v="no coupoun"/>
    <s v="Email"/>
    <n v="2355.4"/>
    <n v="2355.4"/>
    <s v="Correct"/>
    <x v="0"/>
    <n v="2023"/>
    <s v="Q1"/>
    <s v="Monitor"/>
  </r>
  <r>
    <s v="ORD200561"/>
    <d v="2023-01-31T00:00:00"/>
    <s v="C96822"/>
    <x v="4"/>
    <n v="2"/>
    <n v="494.78"/>
    <s v="198 Main St"/>
    <x v="1"/>
    <s v="Shipped"/>
    <s v="TRK89180077"/>
    <n v="2"/>
    <s v="no coupoun"/>
    <s v="Google"/>
    <n v="989.56"/>
    <n v="989.56"/>
    <s v="Correct"/>
    <x v="0"/>
    <n v="2023"/>
    <s v="Q1"/>
    <s v="Printer"/>
  </r>
  <r>
    <s v="ORD200562"/>
    <d v="2023-10-06T00:00:00"/>
    <s v="C76675"/>
    <x v="5"/>
    <n v="3"/>
    <n v="663.93"/>
    <s v="922 Main St"/>
    <x v="3"/>
    <s v="Returned"/>
    <s v="TRK28043915"/>
    <n v="6"/>
    <s v="FREESHIP"/>
    <s v="Email"/>
    <n v="1991.79"/>
    <n v="1991.79"/>
    <s v="Correct"/>
    <x v="3"/>
    <n v="2023"/>
    <s v="Q4"/>
    <s v="Laptop"/>
  </r>
  <r>
    <s v="ORD200563"/>
    <d v="2023-12-12T00:00:00"/>
    <s v="C12039"/>
    <x v="5"/>
    <n v="1"/>
    <n v="132.68"/>
    <s v="844 Main St"/>
    <x v="0"/>
    <s v="Returned"/>
    <s v="TRK68645763"/>
    <n v="1"/>
    <s v="SAVE10"/>
    <s v="Referral"/>
    <n v="132.68"/>
    <n v="132.68"/>
    <s v="Correct"/>
    <x v="8"/>
    <n v="2023"/>
    <s v="Q4"/>
    <s v="Laptop"/>
  </r>
  <r>
    <s v="ORD200564"/>
    <d v="2025-04-08T00:00:00"/>
    <s v="C93309"/>
    <x v="6"/>
    <n v="5"/>
    <n v="364.28"/>
    <s v="734 Main St"/>
    <x v="2"/>
    <s v="Cancelled"/>
    <s v="TRK99446987"/>
    <n v="5"/>
    <s v="WINTER15"/>
    <s v="Google"/>
    <n v="1821.4"/>
    <n v="1821.3999999999999"/>
    <s v="Correct"/>
    <x v="6"/>
    <n v="2025"/>
    <s v="Q2"/>
    <s v="Desk"/>
  </r>
  <r>
    <s v="ORD200565"/>
    <d v="2023-05-14T00:00:00"/>
    <s v="C62042"/>
    <x v="2"/>
    <n v="5"/>
    <n v="307.98"/>
    <s v="214 Main St"/>
    <x v="1"/>
    <s v="Pending"/>
    <s v="TRK42605492"/>
    <n v="10"/>
    <s v="no coupoun"/>
    <s v="Facebook"/>
    <n v="1539.9"/>
    <n v="1539.9"/>
    <s v="Correct"/>
    <x v="4"/>
    <n v="2023"/>
    <s v="Q2"/>
    <s v="Tablet"/>
  </r>
  <r>
    <s v="ORD200566"/>
    <d v="2024-04-18T00:00:00"/>
    <s v="C83223"/>
    <x v="1"/>
    <n v="4"/>
    <n v="162.71"/>
    <s v="167 Main St"/>
    <x v="4"/>
    <s v="Cancelled"/>
    <s v="TRK54339083"/>
    <n v="7"/>
    <s v="FREESHIP"/>
    <s v="Email"/>
    <n v="650.84"/>
    <n v="650.84"/>
    <s v="Correct"/>
    <x v="6"/>
    <n v="2024"/>
    <s v="Q2"/>
    <s v="Phone"/>
  </r>
  <r>
    <s v="ORD200567"/>
    <d v="2024-09-30T00:00:00"/>
    <s v="C92575"/>
    <x v="3"/>
    <n v="5"/>
    <n v="492.94"/>
    <s v="153 Main St"/>
    <x v="4"/>
    <s v="Shipped"/>
    <s v="TRK53579227"/>
    <n v="10"/>
    <s v="FREESHIP"/>
    <s v="Email"/>
    <n v="2464.6999999999998"/>
    <n v="2464.6999999999998"/>
    <s v="Correct"/>
    <x v="11"/>
    <n v="2024"/>
    <s v="Q3"/>
    <s v="Chair"/>
  </r>
  <r>
    <s v="ORD200568"/>
    <d v="2023-03-10T00:00:00"/>
    <s v="C29072"/>
    <x v="5"/>
    <n v="2"/>
    <n v="343.99"/>
    <s v="312 Main St"/>
    <x v="1"/>
    <s v="Delivered"/>
    <s v="TRK72334047"/>
    <n v="4"/>
    <s v="no coupoun"/>
    <s v="Google"/>
    <n v="687.98"/>
    <n v="687.98"/>
    <s v="Correct"/>
    <x v="9"/>
    <n v="2023"/>
    <s v="Q1"/>
    <s v="Laptop"/>
  </r>
  <r>
    <s v="ORD200569"/>
    <d v="2025-03-22T00:00:00"/>
    <s v="C25783"/>
    <x v="6"/>
    <n v="5"/>
    <n v="250.68"/>
    <s v="672 Main St"/>
    <x v="4"/>
    <s v="Shipped"/>
    <s v="TRK13289741"/>
    <n v="8"/>
    <s v="SAVE10"/>
    <s v="Instagram"/>
    <n v="1253.4000000000001"/>
    <n v="1253.4000000000001"/>
    <s v="Correct"/>
    <x v="9"/>
    <n v="2025"/>
    <s v="Q1"/>
    <s v="Desk"/>
  </r>
  <r>
    <s v="ORD200570"/>
    <d v="2024-12-27T00:00:00"/>
    <s v="C63727"/>
    <x v="6"/>
    <n v="2"/>
    <n v="362.14"/>
    <s v="122 Main St"/>
    <x v="0"/>
    <s v="Pending"/>
    <s v="TRK13611021"/>
    <n v="2"/>
    <s v="SAVE10"/>
    <s v="Instagram"/>
    <n v="724.28"/>
    <n v="724.28"/>
    <s v="Correct"/>
    <x v="8"/>
    <n v="2024"/>
    <s v="Q4"/>
    <s v="Desk"/>
  </r>
  <r>
    <s v="ORD200571"/>
    <d v="2024-11-23T00:00:00"/>
    <s v="C42365"/>
    <x v="2"/>
    <n v="1"/>
    <n v="214.08"/>
    <s v="867 Main St"/>
    <x v="3"/>
    <s v="Returned"/>
    <s v="TRK39563288"/>
    <n v="2"/>
    <s v="WINTER15"/>
    <s v="Google"/>
    <n v="214.08"/>
    <n v="214.08"/>
    <s v="Correct"/>
    <x v="7"/>
    <n v="2024"/>
    <s v="Q4"/>
    <s v="Tablet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s v="Facebook"/>
    <n v="70.319999999999993"/>
    <n v="70.319999999999993"/>
    <s v="Correct"/>
    <x v="7"/>
    <n v="2023"/>
    <s v="Q4"/>
    <s v="Printer"/>
  </r>
  <r>
    <s v="ORD200573"/>
    <d v="2023-01-25T00:00:00"/>
    <s v="C13205"/>
    <x v="3"/>
    <n v="5"/>
    <n v="421.42"/>
    <s v="522 Main St"/>
    <x v="0"/>
    <s v="Cancelled"/>
    <s v="TRK30686578"/>
    <n v="7"/>
    <s v="no coupoun"/>
    <s v="Instagram"/>
    <n v="2107.1"/>
    <n v="2107.1"/>
    <s v="Correct"/>
    <x v="0"/>
    <n v="2023"/>
    <s v="Q1"/>
    <s v="Chair"/>
  </r>
  <r>
    <s v="ORD200574"/>
    <d v="2024-01-24T00:00:00"/>
    <s v="C29685"/>
    <x v="3"/>
    <n v="5"/>
    <n v="384.69"/>
    <s v="275 Main St"/>
    <x v="2"/>
    <s v="Pending"/>
    <s v="TRK97733212"/>
    <n v="6"/>
    <s v="FREESHIP"/>
    <s v="Email"/>
    <n v="1923.45"/>
    <n v="1923.45"/>
    <s v="Correct"/>
    <x v="0"/>
    <n v="2024"/>
    <s v="Q1"/>
    <s v="Chair"/>
  </r>
  <r>
    <s v="ORD200575"/>
    <d v="2023-06-07T00:00:00"/>
    <s v="C74005"/>
    <x v="3"/>
    <n v="5"/>
    <n v="448.15"/>
    <s v="528 Main St"/>
    <x v="3"/>
    <s v="Returned"/>
    <s v="TRK61640534"/>
    <n v="7"/>
    <s v="SAVE10"/>
    <s v="Google"/>
    <n v="2240.75"/>
    <n v="2240.75"/>
    <s v="Correct"/>
    <x v="5"/>
    <n v="2023"/>
    <s v="Q2"/>
    <s v="Chair"/>
  </r>
  <r>
    <s v="ORD200576"/>
    <d v="2024-05-29T00:00:00"/>
    <s v="C14457"/>
    <x v="5"/>
    <n v="5"/>
    <n v="79.08"/>
    <s v="747 Main St"/>
    <x v="4"/>
    <s v="Pending"/>
    <s v="TRK42517811"/>
    <n v="8"/>
    <s v="no coupoun"/>
    <s v="Facebook"/>
    <n v="395.4"/>
    <n v="395.4"/>
    <s v="Correct"/>
    <x v="4"/>
    <n v="2024"/>
    <s v="Q2"/>
    <s v="Laptop"/>
  </r>
  <r>
    <s v="ORD200577"/>
    <d v="2023-01-22T00:00:00"/>
    <s v="C77046"/>
    <x v="2"/>
    <n v="4"/>
    <n v="185.41"/>
    <s v="967 Main St"/>
    <x v="1"/>
    <s v="Returned"/>
    <s v="TRK44401497"/>
    <n v="9"/>
    <s v="WINTER15"/>
    <s v="Google"/>
    <n v="741.64"/>
    <n v="741.64"/>
    <s v="Correct"/>
    <x v="0"/>
    <n v="2023"/>
    <s v="Q1"/>
    <s v="Tablet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s v="Instagram"/>
    <n v="2830.35"/>
    <n v="2830.3500000000004"/>
    <s v="Correct"/>
    <x v="3"/>
    <n v="2024"/>
    <s v="Q4"/>
    <s v="Monitor"/>
  </r>
  <r>
    <s v="ORD200579"/>
    <d v="2023-06-04T00:00:00"/>
    <s v="C73999"/>
    <x v="2"/>
    <n v="2"/>
    <n v="187.88"/>
    <s v="413 Main St"/>
    <x v="1"/>
    <s v="Shipped"/>
    <s v="TRK67919507"/>
    <n v="4"/>
    <s v="WINTER15"/>
    <s v="Facebook"/>
    <n v="375.76"/>
    <n v="375.76"/>
    <s v="Correct"/>
    <x v="5"/>
    <n v="2023"/>
    <s v="Q2"/>
    <s v="Tablet"/>
  </r>
  <r>
    <s v="ORD200580"/>
    <d v="2023-11-14T00:00:00"/>
    <s v="C71076"/>
    <x v="0"/>
    <n v="2"/>
    <n v="255.99"/>
    <s v="340 Main St"/>
    <x v="2"/>
    <s v="Delivered"/>
    <s v="TRK65148292"/>
    <n v="4"/>
    <s v="SAVE10"/>
    <s v="Instagram"/>
    <n v="511.98"/>
    <n v="511.98"/>
    <s v="Correct"/>
    <x v="7"/>
    <n v="2023"/>
    <s v="Q4"/>
    <s v="Monitor"/>
  </r>
  <r>
    <s v="ORD200581"/>
    <d v="2024-11-11T00:00:00"/>
    <s v="C44674"/>
    <x v="5"/>
    <n v="1"/>
    <n v="627.34"/>
    <s v="942 Main St"/>
    <x v="1"/>
    <s v="Delivered"/>
    <s v="TRK87158684"/>
    <n v="1"/>
    <s v="no coupoun"/>
    <s v="Referral"/>
    <n v="627.34"/>
    <n v="627.34"/>
    <s v="Correct"/>
    <x v="7"/>
    <n v="2024"/>
    <s v="Q4"/>
    <s v="Laptop"/>
  </r>
  <r>
    <s v="ORD200582"/>
    <d v="2024-02-19T00:00:00"/>
    <s v="C15228"/>
    <x v="2"/>
    <n v="3"/>
    <n v="474.14"/>
    <s v="558 Main St"/>
    <x v="3"/>
    <s v="Shipped"/>
    <s v="TRK33860620"/>
    <n v="8"/>
    <s v="no coupoun"/>
    <s v="Google"/>
    <n v="1422.42"/>
    <n v="1422.42"/>
    <s v="Correct"/>
    <x v="2"/>
    <n v="2024"/>
    <s v="Q1"/>
    <s v="Tablet"/>
  </r>
  <r>
    <s v="ORD200583"/>
    <d v="2025-06-15T00:00:00"/>
    <s v="C27072"/>
    <x v="3"/>
    <n v="3"/>
    <n v="154.37"/>
    <s v="996 Main St"/>
    <x v="3"/>
    <s v="Delivered"/>
    <s v="TRK29750379"/>
    <n v="4"/>
    <s v="no coupoun"/>
    <s v="Instagram"/>
    <n v="463.11"/>
    <n v="463.11"/>
    <s v="Correct"/>
    <x v="5"/>
    <n v="2025"/>
    <s v="Q2"/>
    <s v="Chair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s v="Google"/>
    <n v="580.20000000000005"/>
    <n v="580.20000000000005"/>
    <s v="Correct"/>
    <x v="9"/>
    <n v="2025"/>
    <s v="Q1"/>
    <s v="Chair"/>
  </r>
  <r>
    <s v="ORD200585"/>
    <d v="2023-08-20T00:00:00"/>
    <s v="C91486"/>
    <x v="2"/>
    <n v="4"/>
    <n v="67.08"/>
    <s v="907 Main St"/>
    <x v="4"/>
    <s v="Returned"/>
    <s v="TRK79617136"/>
    <n v="8"/>
    <s v="WINTER15"/>
    <s v="Google"/>
    <n v="268.32"/>
    <n v="268.32"/>
    <s v="Correct"/>
    <x v="1"/>
    <n v="2023"/>
    <s v="Q3"/>
    <s v="Tablet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s v="Referral"/>
    <n v="522.08000000000004"/>
    <n v="522.08000000000004"/>
    <s v="Correct"/>
    <x v="7"/>
    <n v="2024"/>
    <s v="Q4"/>
    <s v="Monitor"/>
  </r>
  <r>
    <s v="ORD200587"/>
    <d v="2023-06-12T00:00:00"/>
    <s v="C18820"/>
    <x v="0"/>
    <n v="5"/>
    <n v="514.6"/>
    <s v="347 Main St"/>
    <x v="3"/>
    <s v="Delivered"/>
    <s v="TRK91547425"/>
    <n v="10"/>
    <s v="FREESHIP"/>
    <s v="Instagram"/>
    <n v="2573"/>
    <n v="2573"/>
    <s v="Correct"/>
    <x v="5"/>
    <n v="2023"/>
    <s v="Q2"/>
    <s v="Monitor"/>
  </r>
  <r>
    <s v="ORD200588"/>
    <d v="2024-12-10T00:00:00"/>
    <s v="C61849"/>
    <x v="0"/>
    <n v="4"/>
    <n v="577.82000000000005"/>
    <s v="811 Main St"/>
    <x v="2"/>
    <s v="Delivered"/>
    <s v="TRK47613918"/>
    <n v="9"/>
    <s v="no coupoun"/>
    <s v="Google"/>
    <n v="2311.2800000000002"/>
    <n v="2311.2800000000002"/>
    <s v="Correct"/>
    <x v="8"/>
    <n v="2024"/>
    <s v="Q4"/>
    <s v="Monitor"/>
  </r>
  <r>
    <s v="ORD200589"/>
    <d v="2025-02-10T00:00:00"/>
    <s v="C84041"/>
    <x v="5"/>
    <n v="2"/>
    <n v="500.8"/>
    <s v="900 Main St"/>
    <x v="4"/>
    <s v="Delivered"/>
    <s v="TRK84920444"/>
    <n v="3"/>
    <s v="FREESHIP"/>
    <s v="Referral"/>
    <n v="1001.6"/>
    <n v="1001.6"/>
    <s v="Correct"/>
    <x v="2"/>
    <n v="2025"/>
    <s v="Q1"/>
    <s v="Laptop"/>
  </r>
  <r>
    <s v="ORD200590"/>
    <d v="2023-09-10T00:00:00"/>
    <s v="C55757"/>
    <x v="4"/>
    <n v="2"/>
    <n v="461.13"/>
    <s v="175 Main St"/>
    <x v="3"/>
    <s v="Returned"/>
    <s v="TRK27356242"/>
    <n v="4"/>
    <s v="no coupoun"/>
    <s v="Email"/>
    <n v="922.26"/>
    <n v="922.26"/>
    <s v="Correct"/>
    <x v="11"/>
    <n v="2023"/>
    <s v="Q3"/>
    <s v="Printer"/>
  </r>
  <r>
    <s v="ORD200591"/>
    <d v="2024-11-18T00:00:00"/>
    <s v="C18187"/>
    <x v="5"/>
    <n v="1"/>
    <n v="605.28"/>
    <s v="470 Main St"/>
    <x v="3"/>
    <s v="Shipped"/>
    <s v="TRK50528185"/>
    <n v="3"/>
    <s v="FREESHIP"/>
    <s v="Referral"/>
    <n v="605.28"/>
    <n v="605.28"/>
    <s v="Correct"/>
    <x v="7"/>
    <n v="2024"/>
    <s v="Q4"/>
    <s v="Laptop"/>
  </r>
  <r>
    <s v="ORD200592"/>
    <d v="2024-04-23T00:00:00"/>
    <s v="C42306"/>
    <x v="1"/>
    <n v="3"/>
    <n v="204.27"/>
    <s v="938 Main St"/>
    <x v="1"/>
    <s v="Returned"/>
    <s v="TRK15499648"/>
    <n v="4"/>
    <s v="no coupoun"/>
    <s v="Google"/>
    <n v="612.81000000000006"/>
    <n v="612.81000000000006"/>
    <s v="Correct"/>
    <x v="6"/>
    <n v="2024"/>
    <s v="Q2"/>
    <s v="Phone"/>
  </r>
  <r>
    <s v="ORD200593"/>
    <d v="2023-08-02T00:00:00"/>
    <s v="C51024"/>
    <x v="0"/>
    <n v="1"/>
    <n v="489.8"/>
    <s v="636 Main St"/>
    <x v="3"/>
    <s v="Shipped"/>
    <s v="TRK31375086"/>
    <n v="4"/>
    <s v="FREESHIP"/>
    <s v="Facebook"/>
    <n v="489.8"/>
    <n v="489.8"/>
    <s v="Correct"/>
    <x v="1"/>
    <n v="2023"/>
    <s v="Q3"/>
    <s v="Monitor"/>
  </r>
  <r>
    <s v="ORD200594"/>
    <d v="2024-02-21T00:00:00"/>
    <s v="C40140"/>
    <x v="1"/>
    <n v="5"/>
    <n v="72.64"/>
    <s v="598 Main St"/>
    <x v="2"/>
    <s v="Cancelled"/>
    <s v="TRK12671989"/>
    <n v="7"/>
    <s v="no coupoun"/>
    <s v="Email"/>
    <n v="363.2"/>
    <n v="363.2"/>
    <s v="Correct"/>
    <x v="2"/>
    <n v="2024"/>
    <s v="Q1"/>
    <s v="Phone"/>
  </r>
  <r>
    <s v="ORD200595"/>
    <d v="2025-01-10T00:00:00"/>
    <s v="C72596"/>
    <x v="4"/>
    <n v="2"/>
    <n v="385.16"/>
    <s v="491 Main St"/>
    <x v="1"/>
    <s v="Pending"/>
    <s v="TRK83870446"/>
    <n v="7"/>
    <s v="SAVE10"/>
    <s v="Email"/>
    <n v="770.32"/>
    <n v="770.32"/>
    <s v="Correct"/>
    <x v="0"/>
    <n v="2025"/>
    <s v="Q1"/>
    <s v="Printer"/>
  </r>
  <r>
    <s v="ORD200596"/>
    <d v="2023-06-12T00:00:00"/>
    <s v="C91805"/>
    <x v="6"/>
    <n v="3"/>
    <n v="606.41"/>
    <s v="653 Main St"/>
    <x v="0"/>
    <s v="Returned"/>
    <s v="TRK34504030"/>
    <n v="7"/>
    <s v="FREESHIP"/>
    <s v="Facebook"/>
    <n v="1819.23"/>
    <n v="1819.23"/>
    <s v="Correct"/>
    <x v="5"/>
    <n v="2023"/>
    <s v="Q2"/>
    <s v="Desk"/>
  </r>
  <r>
    <s v="ORD200597"/>
    <d v="2024-11-25T00:00:00"/>
    <s v="C40538"/>
    <x v="6"/>
    <n v="2"/>
    <n v="211.82"/>
    <s v="700 Main St"/>
    <x v="3"/>
    <s v="Cancelled"/>
    <s v="TRK29821356"/>
    <n v="4"/>
    <s v="WINTER15"/>
    <s v="Email"/>
    <n v="423.64"/>
    <n v="423.64"/>
    <s v="Correct"/>
    <x v="7"/>
    <n v="2024"/>
    <s v="Q4"/>
    <s v="Desk"/>
  </r>
  <r>
    <s v="ORD200598"/>
    <d v="2024-04-26T00:00:00"/>
    <s v="C60329"/>
    <x v="6"/>
    <n v="5"/>
    <n v="495.35"/>
    <s v="826 Main St"/>
    <x v="2"/>
    <s v="Pending"/>
    <s v="TRK59069987"/>
    <n v="5"/>
    <s v="no coupoun"/>
    <s v="Facebook"/>
    <n v="2476.75"/>
    <n v="2476.75"/>
    <s v="Correct"/>
    <x v="6"/>
    <n v="2024"/>
    <s v="Q2"/>
    <s v="Desk"/>
  </r>
  <r>
    <s v="ORD200599"/>
    <d v="2023-06-30T00:00:00"/>
    <s v="C28740"/>
    <x v="3"/>
    <n v="3"/>
    <n v="556.99"/>
    <s v="123 Main St"/>
    <x v="1"/>
    <s v="Cancelled"/>
    <s v="TRK33642221"/>
    <n v="4"/>
    <s v="FREESHIP"/>
    <s v="Facebook"/>
    <n v="1670.97"/>
    <n v="1670.97"/>
    <s v="Correct"/>
    <x v="5"/>
    <n v="2023"/>
    <s v="Q2"/>
    <s v="Chair"/>
  </r>
  <r>
    <s v="ORD200600"/>
    <d v="2023-05-26T00:00:00"/>
    <s v="C87051"/>
    <x v="4"/>
    <n v="1"/>
    <n v="72.31"/>
    <s v="460 Main St"/>
    <x v="3"/>
    <s v="Cancelled"/>
    <s v="TRK82056333"/>
    <n v="1"/>
    <s v="FREESHIP"/>
    <s v="Facebook"/>
    <n v="72.31"/>
    <n v="72.31"/>
    <s v="Correct"/>
    <x v="4"/>
    <n v="2023"/>
    <s v="Q2"/>
    <s v="Printer"/>
  </r>
  <r>
    <s v="ORD200601"/>
    <d v="2023-10-02T00:00:00"/>
    <s v="C12479"/>
    <x v="0"/>
    <n v="5"/>
    <n v="24.82"/>
    <s v="529 Main St"/>
    <x v="2"/>
    <s v="Shipped"/>
    <s v="TRK73935314"/>
    <n v="10"/>
    <s v="no coupoun"/>
    <s v="Referral"/>
    <n v="124.1"/>
    <n v="124.1"/>
    <s v="Correct"/>
    <x v="3"/>
    <n v="2023"/>
    <s v="Q4"/>
    <s v="Monitor"/>
  </r>
  <r>
    <s v="ORD200602"/>
    <d v="2024-03-05T00:00:00"/>
    <s v="C35852"/>
    <x v="2"/>
    <n v="4"/>
    <n v="26.04"/>
    <s v="982 Main St"/>
    <x v="1"/>
    <s v="Pending"/>
    <s v="TRK64660134"/>
    <n v="5"/>
    <s v="SAVE10"/>
    <s v="Instagram"/>
    <n v="104.16"/>
    <n v="104.16"/>
    <s v="Correct"/>
    <x v="9"/>
    <n v="2024"/>
    <s v="Q1"/>
    <s v="Tablet"/>
  </r>
  <r>
    <s v="ORD200603"/>
    <d v="2024-10-04T00:00:00"/>
    <s v="C26223"/>
    <x v="2"/>
    <n v="1"/>
    <n v="657.07"/>
    <s v="800 Main St"/>
    <x v="4"/>
    <s v="Pending"/>
    <s v="TRK50900547"/>
    <n v="4"/>
    <s v="SAVE10"/>
    <s v="Google"/>
    <n v="657.07"/>
    <n v="657.07"/>
    <s v="Correct"/>
    <x v="3"/>
    <n v="2024"/>
    <s v="Q4"/>
    <s v="Tablet"/>
  </r>
  <r>
    <s v="ORD200604"/>
    <d v="2025-06-22T00:00:00"/>
    <s v="C99214"/>
    <x v="3"/>
    <n v="3"/>
    <n v="32.619999999999997"/>
    <s v="252 Main St"/>
    <x v="0"/>
    <s v="Delivered"/>
    <s v="TRK81368481"/>
    <n v="6"/>
    <s v="no coupoun"/>
    <s v="Facebook"/>
    <n v="97.859999999999985"/>
    <n v="97.859999999999985"/>
    <s v="Correct"/>
    <x v="5"/>
    <n v="2025"/>
    <s v="Q2"/>
    <s v="Chair"/>
  </r>
  <r>
    <s v="ORD200605"/>
    <d v="2024-05-10T00:00:00"/>
    <s v="C49605"/>
    <x v="0"/>
    <n v="2"/>
    <n v="228.91"/>
    <s v="892 Main St"/>
    <x v="0"/>
    <s v="Shipped"/>
    <s v="TRK95620066"/>
    <n v="4"/>
    <s v="SAVE10"/>
    <s v="Referral"/>
    <n v="457.82"/>
    <n v="457.82"/>
    <s v="Correct"/>
    <x v="4"/>
    <n v="2024"/>
    <s v="Q2"/>
    <s v="Monitor"/>
  </r>
  <r>
    <s v="ORD200606"/>
    <d v="2024-11-06T00:00:00"/>
    <s v="C85018"/>
    <x v="5"/>
    <n v="3"/>
    <n v="274.75"/>
    <s v="783 Main St"/>
    <x v="4"/>
    <s v="Cancelled"/>
    <s v="TRK54128886"/>
    <n v="3"/>
    <s v="SAVE10"/>
    <s v="Google"/>
    <n v="824.25"/>
    <n v="824.25"/>
    <s v="Correct"/>
    <x v="7"/>
    <n v="2024"/>
    <s v="Q4"/>
    <s v="Laptop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s v="Google"/>
    <n v="2536.1999999999998"/>
    <n v="2536.1999999999998"/>
    <s v="Correct"/>
    <x v="4"/>
    <n v="2025"/>
    <s v="Q2"/>
    <s v="Printer"/>
  </r>
  <r>
    <s v="ORD200608"/>
    <d v="2024-07-24T00:00:00"/>
    <s v="C32956"/>
    <x v="5"/>
    <n v="5"/>
    <n v="543.16"/>
    <s v="788 Main St"/>
    <x v="1"/>
    <s v="Cancelled"/>
    <s v="TRK73140103"/>
    <n v="6"/>
    <s v="SAVE10"/>
    <s v="Instagram"/>
    <n v="2715.8"/>
    <n v="2715.7999999999997"/>
    <s v="Correct"/>
    <x v="10"/>
    <n v="2024"/>
    <s v="Q3"/>
    <s v="Laptop"/>
  </r>
  <r>
    <s v="ORD200609"/>
    <d v="2025-01-27T00:00:00"/>
    <s v="C41137"/>
    <x v="3"/>
    <n v="3"/>
    <n v="449.13"/>
    <s v="809 Main St"/>
    <x v="4"/>
    <s v="Returned"/>
    <s v="TRK52732162"/>
    <n v="5"/>
    <s v="WINTER15"/>
    <s v="Referral"/>
    <n v="1347.39"/>
    <n v="1347.3899999999999"/>
    <s v="Correct"/>
    <x v="0"/>
    <n v="2025"/>
    <s v="Q1"/>
    <s v="Chair"/>
  </r>
  <r>
    <s v="ORD200610"/>
    <d v="2024-06-16T00:00:00"/>
    <s v="C60361"/>
    <x v="6"/>
    <n v="5"/>
    <n v="389.62"/>
    <s v="623 Main St"/>
    <x v="4"/>
    <s v="Returned"/>
    <s v="TRK83566924"/>
    <n v="7"/>
    <s v="FREESHIP"/>
    <s v="Facebook"/>
    <n v="1948.1"/>
    <n v="1948.1"/>
    <s v="Correct"/>
    <x v="5"/>
    <n v="2024"/>
    <s v="Q2"/>
    <s v="Desk"/>
  </r>
  <r>
    <s v="ORD200611"/>
    <d v="2023-04-21T00:00:00"/>
    <s v="C36688"/>
    <x v="6"/>
    <n v="1"/>
    <n v="305.17"/>
    <s v="700 Main St"/>
    <x v="3"/>
    <s v="Returned"/>
    <s v="TRK35720426"/>
    <n v="3"/>
    <s v="WINTER15"/>
    <s v="Referral"/>
    <n v="305.17"/>
    <n v="305.17"/>
    <s v="Correct"/>
    <x v="6"/>
    <n v="2023"/>
    <s v="Q2"/>
    <s v="Desk"/>
  </r>
  <r>
    <s v="ORD200612"/>
    <d v="2023-06-02T00:00:00"/>
    <s v="C51811"/>
    <x v="3"/>
    <n v="3"/>
    <n v="445.12"/>
    <s v="339 Main St"/>
    <x v="3"/>
    <s v="Cancelled"/>
    <s v="TRK82377939"/>
    <n v="8"/>
    <s v="no coupoun"/>
    <s v="Google"/>
    <n v="1335.36"/>
    <n v="1335.3600000000001"/>
    <s v="Correct"/>
    <x v="5"/>
    <n v="2023"/>
    <s v="Q2"/>
    <s v="Chair"/>
  </r>
  <r>
    <s v="ORD200613"/>
    <d v="2024-12-19T00:00:00"/>
    <s v="C62405"/>
    <x v="5"/>
    <n v="2"/>
    <n v="230.36"/>
    <s v="154 Main St"/>
    <x v="1"/>
    <s v="Returned"/>
    <s v="TRK14721763"/>
    <n v="4"/>
    <s v="WINTER15"/>
    <s v="Email"/>
    <n v="460.72"/>
    <n v="460.72"/>
    <s v="Correct"/>
    <x v="8"/>
    <n v="2024"/>
    <s v="Q4"/>
    <s v="Laptop"/>
  </r>
  <r>
    <s v="ORD200614"/>
    <d v="2024-03-08T00:00:00"/>
    <s v="C77363"/>
    <x v="1"/>
    <n v="1"/>
    <n v="96.81"/>
    <s v="807 Main St"/>
    <x v="3"/>
    <s v="Cancelled"/>
    <s v="TRK12439827"/>
    <n v="3"/>
    <s v="no coupoun"/>
    <s v="Referral"/>
    <n v="96.81"/>
    <n v="96.81"/>
    <s v="Correct"/>
    <x v="9"/>
    <n v="2024"/>
    <s v="Q1"/>
    <s v="Phone"/>
  </r>
  <r>
    <s v="ORD200615"/>
    <d v="2025-03-07T00:00:00"/>
    <s v="C97218"/>
    <x v="0"/>
    <n v="5"/>
    <n v="460.14"/>
    <s v="252 Main St"/>
    <x v="2"/>
    <s v="Returned"/>
    <s v="TRK52632065"/>
    <n v="10"/>
    <s v="WINTER15"/>
    <s v="Facebook"/>
    <n v="2300.6999999999998"/>
    <n v="2300.6999999999998"/>
    <s v="Correct"/>
    <x v="9"/>
    <n v="2025"/>
    <s v="Q1"/>
    <s v="Monitor"/>
  </r>
  <r>
    <s v="ORD200616"/>
    <d v="2024-10-17T00:00:00"/>
    <s v="C43919"/>
    <x v="2"/>
    <n v="3"/>
    <n v="601.6"/>
    <s v="984 Main St"/>
    <x v="2"/>
    <s v="Cancelled"/>
    <s v="TRK73113192"/>
    <n v="7"/>
    <s v="SAVE10"/>
    <s v="Facebook"/>
    <n v="1804.8"/>
    <n v="1804.8000000000002"/>
    <s v="Correct"/>
    <x v="3"/>
    <n v="2024"/>
    <s v="Q4"/>
    <s v="Tablet"/>
  </r>
  <r>
    <s v="ORD200617"/>
    <d v="2024-02-08T00:00:00"/>
    <s v="C57093"/>
    <x v="2"/>
    <n v="3"/>
    <n v="184.47"/>
    <s v="834 Main St"/>
    <x v="1"/>
    <s v="Cancelled"/>
    <s v="TRK75469057"/>
    <n v="4"/>
    <s v="no coupoun"/>
    <s v="Referral"/>
    <n v="553.41"/>
    <n v="553.41"/>
    <s v="Correct"/>
    <x v="2"/>
    <n v="2024"/>
    <s v="Q1"/>
    <s v="Tablet"/>
  </r>
  <r>
    <s v="ORD200618"/>
    <d v="2024-09-03T00:00:00"/>
    <s v="C50565"/>
    <x v="2"/>
    <n v="1"/>
    <n v="411.34"/>
    <s v="399 Main St"/>
    <x v="0"/>
    <s v="Returned"/>
    <s v="TRK97981418"/>
    <n v="5"/>
    <s v="no coupoun"/>
    <s v="Instagram"/>
    <n v="411.34"/>
    <n v="411.34"/>
    <s v="Correct"/>
    <x v="11"/>
    <n v="2024"/>
    <s v="Q3"/>
    <s v="Tablet"/>
  </r>
  <r>
    <s v="ORD200619"/>
    <d v="2024-07-16T00:00:00"/>
    <s v="C38845"/>
    <x v="5"/>
    <n v="1"/>
    <n v="532.89"/>
    <s v="764 Main St"/>
    <x v="3"/>
    <s v="Pending"/>
    <s v="TRK47637374"/>
    <n v="2"/>
    <s v="no coupoun"/>
    <s v="Referral"/>
    <n v="532.89"/>
    <n v="532.89"/>
    <s v="Correct"/>
    <x v="10"/>
    <n v="2024"/>
    <s v="Q3"/>
    <s v="Laptop"/>
  </r>
  <r>
    <s v="ORD200620"/>
    <d v="2024-03-27T00:00:00"/>
    <s v="C84834"/>
    <x v="2"/>
    <n v="3"/>
    <n v="136.34"/>
    <s v="866 Main St"/>
    <x v="0"/>
    <s v="Returned"/>
    <s v="TRK90136001"/>
    <n v="8"/>
    <s v="SAVE10"/>
    <s v="Referral"/>
    <n v="409.02"/>
    <n v="409.02"/>
    <s v="Correct"/>
    <x v="9"/>
    <n v="2024"/>
    <s v="Q1"/>
    <s v="Tablet"/>
  </r>
  <r>
    <s v="ORD200621"/>
    <d v="2023-10-22T00:00:00"/>
    <s v="C37455"/>
    <x v="1"/>
    <n v="5"/>
    <n v="476.01"/>
    <s v="146 Main St"/>
    <x v="2"/>
    <s v="Delivered"/>
    <s v="TRK82685594"/>
    <n v="7"/>
    <s v="WINTER15"/>
    <s v="Google"/>
    <n v="2380.0500000000002"/>
    <n v="2380.0500000000002"/>
    <s v="Correct"/>
    <x v="3"/>
    <n v="2023"/>
    <s v="Q4"/>
    <s v="Phone"/>
  </r>
  <r>
    <s v="ORD200622"/>
    <d v="2024-11-02T00:00:00"/>
    <s v="C27078"/>
    <x v="6"/>
    <n v="5"/>
    <n v="236.38"/>
    <s v="128 Main St"/>
    <x v="2"/>
    <s v="Returned"/>
    <s v="TRK89314307"/>
    <n v="7"/>
    <s v="no coupoun"/>
    <s v="Facebook"/>
    <n v="1181.9000000000001"/>
    <n v="1181.9000000000001"/>
    <s v="Correct"/>
    <x v="7"/>
    <n v="2024"/>
    <s v="Q4"/>
    <s v="Desk"/>
  </r>
  <r>
    <s v="ORD200623"/>
    <d v="2023-06-16T00:00:00"/>
    <s v="C91941"/>
    <x v="4"/>
    <n v="3"/>
    <n v="396"/>
    <s v="269 Main St"/>
    <x v="3"/>
    <s v="Cancelled"/>
    <s v="TRK21330732"/>
    <n v="4"/>
    <s v="FREESHIP"/>
    <s v="Instagram"/>
    <n v="1188"/>
    <n v="1188"/>
    <s v="Correct"/>
    <x v="5"/>
    <n v="2023"/>
    <s v="Q2"/>
    <s v="Printer"/>
  </r>
  <r>
    <s v="ORD200624"/>
    <d v="2024-01-16T00:00:00"/>
    <s v="C25967"/>
    <x v="2"/>
    <n v="5"/>
    <n v="341.96"/>
    <s v="747 Main St"/>
    <x v="0"/>
    <s v="Delivered"/>
    <s v="TRK88559278"/>
    <n v="6"/>
    <s v="no coupoun"/>
    <s v="Email"/>
    <n v="1709.8"/>
    <n v="1709.8"/>
    <s v="Correct"/>
    <x v="0"/>
    <n v="2024"/>
    <s v="Q1"/>
    <s v="Tablet"/>
  </r>
  <r>
    <s v="ORD200625"/>
    <d v="2023-09-24T00:00:00"/>
    <s v="C22123"/>
    <x v="2"/>
    <n v="1"/>
    <n v="672.89"/>
    <s v="519 Main St"/>
    <x v="2"/>
    <s v="Pending"/>
    <s v="TRK43250279"/>
    <n v="1"/>
    <s v="WINTER15"/>
    <s v="Email"/>
    <n v="672.89"/>
    <n v="672.89"/>
    <s v="Correct"/>
    <x v="11"/>
    <n v="2023"/>
    <s v="Q3"/>
    <s v="Tablet"/>
  </r>
  <r>
    <s v="ORD200626"/>
    <d v="2024-03-01T00:00:00"/>
    <s v="C45671"/>
    <x v="2"/>
    <n v="2"/>
    <n v="657.48"/>
    <s v="769 Main St"/>
    <x v="1"/>
    <s v="Shipped"/>
    <s v="TRK18179773"/>
    <n v="5"/>
    <s v="SAVE10"/>
    <s v="Referral"/>
    <n v="1314.96"/>
    <n v="1314.96"/>
    <s v="Correct"/>
    <x v="9"/>
    <n v="2024"/>
    <s v="Q1"/>
    <s v="Tablet"/>
  </r>
  <r>
    <s v="ORD200627"/>
    <d v="2023-08-06T00:00:00"/>
    <s v="C53334"/>
    <x v="3"/>
    <n v="3"/>
    <n v="498.68"/>
    <s v="879 Main St"/>
    <x v="1"/>
    <s v="Returned"/>
    <s v="TRK31724421"/>
    <n v="4"/>
    <s v="FREESHIP"/>
    <s v="Email"/>
    <n v="1496.04"/>
    <n v="1496.04"/>
    <s v="Correct"/>
    <x v="1"/>
    <n v="2023"/>
    <s v="Q3"/>
    <s v="Chair"/>
  </r>
  <r>
    <s v="ORD200628"/>
    <d v="2023-03-26T00:00:00"/>
    <s v="C18717"/>
    <x v="4"/>
    <n v="5"/>
    <n v="558.63"/>
    <s v="861 Main St"/>
    <x v="4"/>
    <s v="Pending"/>
    <s v="TRK58568806"/>
    <n v="8"/>
    <s v="FREESHIP"/>
    <s v="Referral"/>
    <n v="2793.15"/>
    <n v="2793.15"/>
    <s v="Correct"/>
    <x v="9"/>
    <n v="2023"/>
    <s v="Q1"/>
    <s v="Printer"/>
  </r>
  <r>
    <s v="ORD200629"/>
    <d v="2023-07-07T00:00:00"/>
    <s v="C50137"/>
    <x v="1"/>
    <n v="3"/>
    <n v="19.73"/>
    <s v="840 Main St"/>
    <x v="1"/>
    <s v="Pending"/>
    <s v="TRK91836131"/>
    <n v="3"/>
    <s v="no coupoun"/>
    <s v="Referral"/>
    <n v="59.19"/>
    <n v="59.19"/>
    <s v="Correct"/>
    <x v="10"/>
    <n v="2023"/>
    <s v="Q3"/>
    <s v="Phone"/>
  </r>
  <r>
    <s v="ORD200630"/>
    <d v="2023-06-23T00:00:00"/>
    <s v="C51481"/>
    <x v="0"/>
    <n v="5"/>
    <n v="248.84"/>
    <s v="140 Main St"/>
    <x v="0"/>
    <s v="Cancelled"/>
    <s v="TRK33437701"/>
    <n v="10"/>
    <s v="no coupoun"/>
    <s v="Instagram"/>
    <n v="1244.2"/>
    <n v="1244.2"/>
    <s v="Correct"/>
    <x v="5"/>
    <n v="2023"/>
    <s v="Q2"/>
    <s v="Monitor"/>
  </r>
  <r>
    <s v="ORD200631"/>
    <d v="2024-08-31T00:00:00"/>
    <s v="C99128"/>
    <x v="3"/>
    <n v="3"/>
    <n v="46.11"/>
    <s v="360 Main St"/>
    <x v="3"/>
    <s v="Returned"/>
    <s v="TRK32426808"/>
    <n v="5"/>
    <s v="WINTER15"/>
    <s v="Referral"/>
    <n v="138.33000000000001"/>
    <n v="138.32999999999998"/>
    <s v="Correct"/>
    <x v="1"/>
    <n v="2024"/>
    <s v="Q3"/>
    <s v="Chair"/>
  </r>
  <r>
    <s v="ORD200632"/>
    <d v="2023-05-02T00:00:00"/>
    <s v="C67260"/>
    <x v="5"/>
    <n v="5"/>
    <n v="678.16"/>
    <s v="463 Main St"/>
    <x v="3"/>
    <s v="Delivered"/>
    <s v="TRK38229104"/>
    <n v="7"/>
    <s v="WINTER15"/>
    <s v="Facebook"/>
    <n v="3390.8"/>
    <n v="3390.7999999999997"/>
    <s v="Correct"/>
    <x v="4"/>
    <n v="2023"/>
    <s v="Q2"/>
    <s v="Laptop"/>
  </r>
  <r>
    <s v="ORD200633"/>
    <d v="2024-04-10T00:00:00"/>
    <s v="C79533"/>
    <x v="5"/>
    <n v="5"/>
    <n v="601.72"/>
    <s v="921 Main St"/>
    <x v="3"/>
    <s v="Cancelled"/>
    <s v="TRK54711422"/>
    <n v="5"/>
    <s v="WINTER15"/>
    <s v="Instagram"/>
    <n v="3008.6"/>
    <n v="3008.6000000000004"/>
    <s v="Correct"/>
    <x v="6"/>
    <n v="2024"/>
    <s v="Q2"/>
    <s v="Laptop"/>
  </r>
  <r>
    <s v="ORD200634"/>
    <d v="2024-04-25T00:00:00"/>
    <s v="C66906"/>
    <x v="4"/>
    <n v="2"/>
    <n v="259.32"/>
    <s v="117 Main St"/>
    <x v="3"/>
    <s v="Delivered"/>
    <s v="TRK31633755"/>
    <n v="2"/>
    <s v="WINTER15"/>
    <s v="Referral"/>
    <n v="518.64"/>
    <n v="518.64"/>
    <s v="Correct"/>
    <x v="6"/>
    <n v="2024"/>
    <s v="Q2"/>
    <s v="Printer"/>
  </r>
  <r>
    <s v="ORD200635"/>
    <d v="2023-12-13T00:00:00"/>
    <s v="C12818"/>
    <x v="3"/>
    <n v="3"/>
    <n v="63.68"/>
    <s v="434 Main St"/>
    <x v="4"/>
    <s v="Returned"/>
    <s v="TRK40879983"/>
    <n v="6"/>
    <s v="no coupoun"/>
    <s v="Facebook"/>
    <n v="191.04"/>
    <n v="191.04"/>
    <s v="Correct"/>
    <x v="8"/>
    <n v="2023"/>
    <s v="Q4"/>
    <s v="Chair"/>
  </r>
  <r>
    <s v="ORD200636"/>
    <d v="2023-10-05T00:00:00"/>
    <s v="C60384"/>
    <x v="5"/>
    <n v="4"/>
    <n v="371.07"/>
    <s v="336 Main St"/>
    <x v="4"/>
    <s v="Cancelled"/>
    <s v="TRK92080037"/>
    <n v="7"/>
    <s v="WINTER15"/>
    <s v="Facebook"/>
    <n v="1484.28"/>
    <n v="1484.28"/>
    <s v="Correct"/>
    <x v="3"/>
    <n v="2023"/>
    <s v="Q4"/>
    <s v="Laptop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s v="Referral"/>
    <n v="1225.4000000000001"/>
    <n v="1225.4000000000001"/>
    <s v="Correct"/>
    <x v="11"/>
    <n v="2024"/>
    <s v="Q3"/>
    <s v="Chair"/>
  </r>
  <r>
    <s v="ORD200638"/>
    <d v="2023-10-15T00:00:00"/>
    <s v="C66840"/>
    <x v="2"/>
    <n v="4"/>
    <n v="578.27"/>
    <s v="547 Main St"/>
    <x v="1"/>
    <s v="Delivered"/>
    <s v="TRK76929637"/>
    <n v="9"/>
    <s v="WINTER15"/>
    <s v="Email"/>
    <n v="2313.08"/>
    <n v="2313.08"/>
    <s v="Correct"/>
    <x v="3"/>
    <n v="2023"/>
    <s v="Q4"/>
    <s v="Tablet"/>
  </r>
  <r>
    <s v="ORD200639"/>
    <d v="2023-01-20T00:00:00"/>
    <s v="C22534"/>
    <x v="3"/>
    <n v="1"/>
    <n v="529.19000000000005"/>
    <s v="391 Main St"/>
    <x v="4"/>
    <s v="Cancelled"/>
    <s v="TRK17415798"/>
    <n v="5"/>
    <s v="no coupoun"/>
    <s v="Referral"/>
    <n v="529.19000000000005"/>
    <n v="529.19000000000005"/>
    <s v="Correct"/>
    <x v="0"/>
    <n v="2023"/>
    <s v="Q1"/>
    <s v="Chair"/>
  </r>
  <r>
    <s v="ORD200640"/>
    <d v="2024-02-27T00:00:00"/>
    <s v="C46509"/>
    <x v="3"/>
    <n v="2"/>
    <n v="587.49"/>
    <s v="647 Main St"/>
    <x v="3"/>
    <s v="Returned"/>
    <s v="TRK24241664"/>
    <n v="6"/>
    <s v="SAVE10"/>
    <s v="Referral"/>
    <n v="1174.98"/>
    <n v="1174.98"/>
    <s v="Correct"/>
    <x v="2"/>
    <n v="2024"/>
    <s v="Q1"/>
    <s v="Chair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s v="Google"/>
    <n v="2270.2800000000002"/>
    <n v="2270.2800000000002"/>
    <s v="Correct"/>
    <x v="5"/>
    <n v="2024"/>
    <s v="Q2"/>
    <s v="Printer"/>
  </r>
  <r>
    <s v="ORD200642"/>
    <d v="2024-04-29T00:00:00"/>
    <s v="C15063"/>
    <x v="3"/>
    <n v="5"/>
    <n v="85.22"/>
    <s v="527 Main St"/>
    <x v="2"/>
    <s v="Cancelled"/>
    <s v="TRK10329390"/>
    <n v="7"/>
    <s v="FREESHIP"/>
    <s v="Email"/>
    <n v="426.1"/>
    <n v="426.1"/>
    <s v="Correct"/>
    <x v="6"/>
    <n v="2024"/>
    <s v="Q2"/>
    <s v="Chair"/>
  </r>
  <r>
    <s v="ORD200643"/>
    <d v="2024-08-26T00:00:00"/>
    <s v="C77122"/>
    <x v="5"/>
    <n v="1"/>
    <n v="438.37"/>
    <s v="647 Main St"/>
    <x v="4"/>
    <s v="Cancelled"/>
    <s v="TRK75814880"/>
    <n v="4"/>
    <s v="SAVE10"/>
    <s v="Referral"/>
    <n v="438.37"/>
    <n v="438.37"/>
    <s v="Correct"/>
    <x v="1"/>
    <n v="2024"/>
    <s v="Q3"/>
    <s v="Laptop"/>
  </r>
  <r>
    <s v="ORD200644"/>
    <d v="2023-11-15T00:00:00"/>
    <s v="C86524"/>
    <x v="3"/>
    <n v="2"/>
    <n v="366.23"/>
    <s v="961 Main St"/>
    <x v="4"/>
    <s v="Shipped"/>
    <s v="TRK62490506"/>
    <n v="2"/>
    <s v="WINTER15"/>
    <s v="Email"/>
    <n v="732.46"/>
    <n v="732.46"/>
    <s v="Correct"/>
    <x v="7"/>
    <n v="2023"/>
    <s v="Q4"/>
    <s v="Chair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s v="Facebook"/>
    <n v="300.10000000000002"/>
    <n v="300.10000000000002"/>
    <s v="Correct"/>
    <x v="0"/>
    <n v="2023"/>
    <s v="Q1"/>
    <s v="Laptop"/>
  </r>
  <r>
    <s v="ORD200646"/>
    <d v="2023-10-27T00:00:00"/>
    <s v="C98761"/>
    <x v="3"/>
    <n v="4"/>
    <n v="498.51"/>
    <s v="804 Main St"/>
    <x v="0"/>
    <s v="Shipped"/>
    <s v="TRK43262630"/>
    <n v="4"/>
    <s v="SAVE10"/>
    <s v="Google"/>
    <n v="1994.04"/>
    <n v="1994.04"/>
    <s v="Correct"/>
    <x v="3"/>
    <n v="2023"/>
    <s v="Q4"/>
    <s v="Chair"/>
  </r>
  <r>
    <s v="ORD200647"/>
    <d v="2025-04-24T00:00:00"/>
    <s v="C54409"/>
    <x v="6"/>
    <n v="3"/>
    <n v="339.39"/>
    <s v="667 Main St"/>
    <x v="4"/>
    <s v="Returned"/>
    <s v="TRK67671316"/>
    <n v="7"/>
    <s v="FREESHIP"/>
    <s v="Google"/>
    <n v="1018.17"/>
    <n v="1018.17"/>
    <s v="Correct"/>
    <x v="6"/>
    <n v="2025"/>
    <s v="Q2"/>
    <s v="Desk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s v="Referral"/>
    <n v="1151.6600000000001"/>
    <n v="1151.6600000000001"/>
    <s v="Correct"/>
    <x v="0"/>
    <n v="2025"/>
    <s v="Q1"/>
    <s v="Monitor"/>
  </r>
  <r>
    <s v="ORD200649"/>
    <d v="2023-12-23T00:00:00"/>
    <s v="C45899"/>
    <x v="0"/>
    <n v="2"/>
    <n v="642.98"/>
    <s v="153 Main St"/>
    <x v="0"/>
    <s v="Returned"/>
    <s v="TRK32932093"/>
    <n v="7"/>
    <s v="FREESHIP"/>
    <s v="Email"/>
    <n v="1285.96"/>
    <n v="1285.96"/>
    <s v="Correct"/>
    <x v="8"/>
    <n v="2023"/>
    <s v="Q4"/>
    <s v="Monitor"/>
  </r>
  <r>
    <s v="ORD200650"/>
    <d v="2023-05-18T00:00:00"/>
    <s v="C74499"/>
    <x v="6"/>
    <n v="2"/>
    <n v="372.23"/>
    <s v="518 Main St"/>
    <x v="3"/>
    <s v="Delivered"/>
    <s v="TRK93767278"/>
    <n v="7"/>
    <s v="SAVE10"/>
    <s v="Email"/>
    <n v="744.46"/>
    <n v="744.46"/>
    <s v="Correct"/>
    <x v="4"/>
    <n v="2023"/>
    <s v="Q2"/>
    <s v="Desk"/>
  </r>
  <r>
    <s v="ORD200651"/>
    <d v="2024-11-12T00:00:00"/>
    <s v="C81192"/>
    <x v="3"/>
    <n v="3"/>
    <n v="646.34"/>
    <s v="429 Main St"/>
    <x v="0"/>
    <s v="Pending"/>
    <s v="TRK76931118"/>
    <n v="5"/>
    <s v="no coupoun"/>
    <s v="Google"/>
    <n v="1939.02"/>
    <n v="1939.02"/>
    <s v="Correct"/>
    <x v="7"/>
    <n v="2024"/>
    <s v="Q4"/>
    <s v="Chair"/>
  </r>
  <r>
    <s v="ORD200652"/>
    <d v="2024-06-05T00:00:00"/>
    <s v="C71473"/>
    <x v="3"/>
    <n v="5"/>
    <n v="341.84"/>
    <s v="328 Main St"/>
    <x v="1"/>
    <s v="Shipped"/>
    <s v="TRK94857335"/>
    <n v="8"/>
    <s v="FREESHIP"/>
    <s v="Instagram"/>
    <n v="1709.2"/>
    <n v="1709.1999999999998"/>
    <s v="Correct"/>
    <x v="5"/>
    <n v="2024"/>
    <s v="Q2"/>
    <s v="Chair"/>
  </r>
  <r>
    <s v="ORD200653"/>
    <d v="2024-02-25T00:00:00"/>
    <s v="C59338"/>
    <x v="4"/>
    <n v="3"/>
    <n v="690.3"/>
    <s v="747 Main St"/>
    <x v="2"/>
    <s v="Shipped"/>
    <s v="TRK12902764"/>
    <n v="6"/>
    <s v="WINTER15"/>
    <s v="Google"/>
    <n v="2070.9"/>
    <n v="2070.8999999999996"/>
    <s v="Correct"/>
    <x v="2"/>
    <n v="2024"/>
    <s v="Q1"/>
    <s v="Printer"/>
  </r>
  <r>
    <s v="ORD200654"/>
    <d v="2023-06-12T00:00:00"/>
    <s v="C62661"/>
    <x v="2"/>
    <n v="3"/>
    <n v="382.37"/>
    <s v="863 Main St"/>
    <x v="0"/>
    <s v="Returned"/>
    <s v="TRK25748100"/>
    <n v="8"/>
    <s v="no coupoun"/>
    <s v="Instagram"/>
    <n v="1147.1099999999999"/>
    <n v="1147.1100000000001"/>
    <s v="Correct"/>
    <x v="5"/>
    <n v="2023"/>
    <s v="Q2"/>
    <s v="Tablet"/>
  </r>
  <r>
    <s v="ORD200655"/>
    <d v="2023-03-14T00:00:00"/>
    <s v="C22101"/>
    <x v="3"/>
    <n v="2"/>
    <n v="132.6"/>
    <s v="262 Main St"/>
    <x v="0"/>
    <s v="Cancelled"/>
    <s v="TRK70711522"/>
    <n v="4"/>
    <s v="WINTER15"/>
    <s v="Email"/>
    <n v="265.2"/>
    <n v="265.2"/>
    <s v="Correct"/>
    <x v="9"/>
    <n v="2023"/>
    <s v="Q1"/>
    <s v="Chair"/>
  </r>
  <r>
    <s v="ORD200656"/>
    <d v="2024-01-18T00:00:00"/>
    <s v="C51404"/>
    <x v="0"/>
    <n v="2"/>
    <n v="189.06"/>
    <s v="835 Main St"/>
    <x v="3"/>
    <s v="Shipped"/>
    <s v="TRK85682500"/>
    <n v="7"/>
    <s v="SAVE10"/>
    <s v="Facebook"/>
    <n v="378.12"/>
    <n v="378.12"/>
    <s v="Correct"/>
    <x v="0"/>
    <n v="2024"/>
    <s v="Q1"/>
    <s v="Monitor"/>
  </r>
  <r>
    <s v="ORD200657"/>
    <d v="2023-12-24T00:00:00"/>
    <s v="C19384"/>
    <x v="2"/>
    <n v="4"/>
    <n v="87.79"/>
    <s v="532 Main St"/>
    <x v="4"/>
    <s v="Cancelled"/>
    <s v="TRK33207064"/>
    <n v="6"/>
    <s v="FREESHIP"/>
    <s v="Instagram"/>
    <n v="351.16"/>
    <n v="351.16"/>
    <s v="Correct"/>
    <x v="8"/>
    <n v="2023"/>
    <s v="Q4"/>
    <s v="Tablet"/>
  </r>
  <r>
    <s v="ORD200658"/>
    <d v="2025-04-18T00:00:00"/>
    <s v="C86864"/>
    <x v="4"/>
    <n v="2"/>
    <n v="46.36"/>
    <s v="670 Main St"/>
    <x v="3"/>
    <s v="Returned"/>
    <s v="TRK15323191"/>
    <n v="4"/>
    <s v="SAVE10"/>
    <s v="Google"/>
    <n v="92.72"/>
    <n v="92.72"/>
    <s v="Correct"/>
    <x v="6"/>
    <n v="2025"/>
    <s v="Q2"/>
    <s v="Printer"/>
  </r>
  <r>
    <s v="ORD200659"/>
    <d v="2024-10-26T00:00:00"/>
    <s v="C24301"/>
    <x v="1"/>
    <n v="2"/>
    <n v="642.04"/>
    <s v="964 Main St"/>
    <x v="3"/>
    <s v="Delivered"/>
    <s v="TRK55000075"/>
    <n v="4"/>
    <s v="WINTER15"/>
    <s v="Email"/>
    <n v="1284.08"/>
    <n v="1284.08"/>
    <s v="Correct"/>
    <x v="3"/>
    <n v="2024"/>
    <s v="Q4"/>
    <s v="Phone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s v="Facebook"/>
    <n v="1303.1400000000001"/>
    <n v="1303.1400000000001"/>
    <s v="Correct"/>
    <x v="3"/>
    <n v="2024"/>
    <s v="Q4"/>
    <s v="Chair"/>
  </r>
  <r>
    <s v="ORD200661"/>
    <d v="2025-02-28T00:00:00"/>
    <s v="C63657"/>
    <x v="2"/>
    <n v="3"/>
    <n v="424.89"/>
    <s v="116 Main St"/>
    <x v="0"/>
    <s v="Cancelled"/>
    <s v="TRK86378984"/>
    <n v="6"/>
    <s v="FREESHIP"/>
    <s v="Google"/>
    <n v="1274.67"/>
    <n v="1274.67"/>
    <s v="Correct"/>
    <x v="2"/>
    <n v="2025"/>
    <s v="Q1"/>
    <s v="Tablet"/>
  </r>
  <r>
    <s v="ORD200662"/>
    <d v="2023-01-28T00:00:00"/>
    <s v="C98332"/>
    <x v="5"/>
    <n v="3"/>
    <n v="438.89"/>
    <s v="985 Main St"/>
    <x v="4"/>
    <s v="Returned"/>
    <s v="TRK85744797"/>
    <n v="3"/>
    <s v="no coupoun"/>
    <s v="Facebook"/>
    <n v="1316.67"/>
    <n v="1316.67"/>
    <s v="Correct"/>
    <x v="0"/>
    <n v="2023"/>
    <s v="Q1"/>
    <s v="Laptop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s v="Instagram"/>
    <n v="72.599999999999994"/>
    <n v="72.599999999999994"/>
    <s v="Correct"/>
    <x v="6"/>
    <n v="2024"/>
    <s v="Q2"/>
    <s v="Monitor"/>
  </r>
  <r>
    <s v="ORD200664"/>
    <d v="2024-12-19T00:00:00"/>
    <s v="C14847"/>
    <x v="5"/>
    <n v="4"/>
    <n v="194.75"/>
    <s v="188 Main St"/>
    <x v="4"/>
    <s v="Shipped"/>
    <s v="TRK46492755"/>
    <n v="5"/>
    <s v="no coupoun"/>
    <s v="Facebook"/>
    <n v="779"/>
    <n v="779"/>
    <s v="Correct"/>
    <x v="8"/>
    <n v="2024"/>
    <s v="Q4"/>
    <s v="Laptop"/>
  </r>
  <r>
    <s v="ORD200665"/>
    <d v="2023-05-02T00:00:00"/>
    <s v="C83653"/>
    <x v="2"/>
    <n v="4"/>
    <n v="231.26"/>
    <s v="253 Main St"/>
    <x v="1"/>
    <s v="Shipped"/>
    <s v="TRK32619935"/>
    <n v="6"/>
    <s v="WINTER15"/>
    <s v="Google"/>
    <n v="925.04"/>
    <n v="925.04"/>
    <s v="Correct"/>
    <x v="4"/>
    <n v="2023"/>
    <s v="Q2"/>
    <s v="Tablet"/>
  </r>
  <r>
    <s v="ORD200666"/>
    <d v="2024-08-31T00:00:00"/>
    <s v="C35711"/>
    <x v="0"/>
    <n v="4"/>
    <n v="327.12"/>
    <s v="788 Main St"/>
    <x v="2"/>
    <s v="Cancelled"/>
    <s v="TRK45281495"/>
    <n v="4"/>
    <s v="no coupoun"/>
    <s v="Email"/>
    <n v="1308.48"/>
    <n v="1308.48"/>
    <s v="Correct"/>
    <x v="1"/>
    <n v="2024"/>
    <s v="Q3"/>
    <s v="Monitor"/>
  </r>
  <r>
    <s v="ORD200667"/>
    <d v="2023-05-03T00:00:00"/>
    <s v="C10477"/>
    <x v="5"/>
    <n v="1"/>
    <n v="466.42"/>
    <s v="172 Main St"/>
    <x v="3"/>
    <s v="Pending"/>
    <s v="TRK41505339"/>
    <n v="5"/>
    <s v="SAVE10"/>
    <s v="Email"/>
    <n v="466.42"/>
    <n v="466.42"/>
    <s v="Correct"/>
    <x v="4"/>
    <n v="2023"/>
    <s v="Q2"/>
    <s v="Laptop"/>
  </r>
  <r>
    <s v="ORD200668"/>
    <d v="2024-07-05T00:00:00"/>
    <s v="C61257"/>
    <x v="0"/>
    <n v="2"/>
    <n v="253.67"/>
    <s v="981 Main St"/>
    <x v="4"/>
    <s v="Returned"/>
    <s v="TRK25226070"/>
    <n v="3"/>
    <s v="WINTER15"/>
    <s v="Facebook"/>
    <n v="507.34"/>
    <n v="507.34"/>
    <s v="Correct"/>
    <x v="10"/>
    <n v="2024"/>
    <s v="Q3"/>
    <s v="Monitor"/>
  </r>
  <r>
    <s v="ORD200669"/>
    <d v="2023-02-05T00:00:00"/>
    <s v="C60547"/>
    <x v="6"/>
    <n v="1"/>
    <n v="257"/>
    <s v="812 Main St"/>
    <x v="0"/>
    <s v="Cancelled"/>
    <s v="TRK65694249"/>
    <n v="5"/>
    <s v="no coupoun"/>
    <s v="Referral"/>
    <n v="257"/>
    <n v="257"/>
    <s v="Correct"/>
    <x v="2"/>
    <n v="2023"/>
    <s v="Q1"/>
    <s v="Desk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s v="Google"/>
    <n v="2156.8000000000002"/>
    <n v="2156.8000000000002"/>
    <s v="Correct"/>
    <x v="6"/>
    <n v="2024"/>
    <s v="Q2"/>
    <s v="Desk"/>
  </r>
  <r>
    <s v="ORD200671"/>
    <d v="2023-06-15T00:00:00"/>
    <s v="C49282"/>
    <x v="3"/>
    <n v="5"/>
    <n v="50.74"/>
    <s v="737 Main St"/>
    <x v="3"/>
    <s v="Cancelled"/>
    <s v="TRK88653901"/>
    <n v="7"/>
    <s v="WINTER15"/>
    <s v="Google"/>
    <n v="253.7"/>
    <n v="253.70000000000002"/>
    <s v="Correct"/>
    <x v="5"/>
    <n v="2023"/>
    <s v="Q2"/>
    <s v="Chair"/>
  </r>
  <r>
    <s v="ORD200672"/>
    <d v="2023-05-09T00:00:00"/>
    <s v="C14017"/>
    <x v="1"/>
    <n v="2"/>
    <n v="624.16"/>
    <s v="984 Main St"/>
    <x v="0"/>
    <s v="Shipped"/>
    <s v="TRK71009446"/>
    <n v="2"/>
    <s v="SAVE10"/>
    <s v="Instagram"/>
    <n v="1248.32"/>
    <n v="1248.32"/>
    <s v="Correct"/>
    <x v="4"/>
    <n v="2023"/>
    <s v="Q2"/>
    <s v="Phone"/>
  </r>
  <r>
    <s v="ORD200673"/>
    <d v="2023-02-21T00:00:00"/>
    <s v="C46504"/>
    <x v="2"/>
    <n v="2"/>
    <n v="372.92"/>
    <s v="131 Main St"/>
    <x v="2"/>
    <s v="Delivered"/>
    <s v="TRK95024356"/>
    <n v="7"/>
    <s v="SAVE10"/>
    <s v="Email"/>
    <n v="745.84"/>
    <n v="745.84"/>
    <s v="Correct"/>
    <x v="2"/>
    <n v="2023"/>
    <s v="Q1"/>
    <s v="Tablet"/>
  </r>
  <r>
    <s v="ORD200674"/>
    <d v="2024-01-09T00:00:00"/>
    <s v="C56928"/>
    <x v="5"/>
    <n v="4"/>
    <n v="358.75"/>
    <s v="860 Main St"/>
    <x v="3"/>
    <s v="Delivered"/>
    <s v="TRK57792939"/>
    <n v="9"/>
    <s v="SAVE10"/>
    <s v="Facebook"/>
    <n v="1435"/>
    <n v="1435"/>
    <s v="Correct"/>
    <x v="0"/>
    <n v="2024"/>
    <s v="Q1"/>
    <s v="Laptop"/>
  </r>
  <r>
    <s v="ORD200675"/>
    <d v="2024-08-06T00:00:00"/>
    <s v="C97749"/>
    <x v="6"/>
    <n v="3"/>
    <n v="342.02"/>
    <s v="906 Main St"/>
    <x v="0"/>
    <s v="Pending"/>
    <s v="TRK90233116"/>
    <n v="5"/>
    <s v="no coupoun"/>
    <s v="Email"/>
    <n v="1026.06"/>
    <n v="1026.06"/>
    <s v="Correct"/>
    <x v="1"/>
    <n v="2024"/>
    <s v="Q3"/>
    <s v="Desk"/>
  </r>
  <r>
    <s v="ORD200676"/>
    <d v="2025-06-23T00:00:00"/>
    <s v="C90431"/>
    <x v="5"/>
    <n v="2"/>
    <n v="422.34"/>
    <s v="985 Main St"/>
    <x v="2"/>
    <s v="Cancelled"/>
    <s v="TRK44151723"/>
    <n v="4"/>
    <s v="FREESHIP"/>
    <s v="Instagram"/>
    <n v="844.68"/>
    <n v="844.68"/>
    <s v="Correct"/>
    <x v="5"/>
    <n v="2025"/>
    <s v="Q2"/>
    <s v="Laptop"/>
  </r>
  <r>
    <s v="ORD200677"/>
    <d v="2025-04-03T00:00:00"/>
    <s v="C56722"/>
    <x v="2"/>
    <n v="5"/>
    <n v="22.07"/>
    <s v="179 Main St"/>
    <x v="1"/>
    <s v="Cancelled"/>
    <s v="TRK78778569"/>
    <n v="7"/>
    <s v="FREESHIP"/>
    <s v="Instagram"/>
    <n v="110.35"/>
    <n v="110.35"/>
    <s v="Correct"/>
    <x v="6"/>
    <n v="2025"/>
    <s v="Q2"/>
    <s v="Tablet"/>
  </r>
  <r>
    <s v="ORD200678"/>
    <d v="2024-11-24T00:00:00"/>
    <s v="C40863"/>
    <x v="3"/>
    <n v="3"/>
    <n v="163.13"/>
    <s v="457 Main St"/>
    <x v="3"/>
    <s v="Shipped"/>
    <s v="TRK20553345"/>
    <n v="5"/>
    <s v="WINTER15"/>
    <s v="Facebook"/>
    <n v="489.39"/>
    <n v="489.39"/>
    <s v="Correct"/>
    <x v="7"/>
    <n v="2024"/>
    <s v="Q4"/>
    <s v="Chair"/>
  </r>
  <r>
    <s v="ORD200679"/>
    <d v="2023-02-02T00:00:00"/>
    <s v="C40798"/>
    <x v="2"/>
    <n v="3"/>
    <n v="360.66"/>
    <s v="304 Main St"/>
    <x v="1"/>
    <s v="Returned"/>
    <s v="TRK66106697"/>
    <n v="5"/>
    <s v="FREESHIP"/>
    <s v="Instagram"/>
    <n v="1081.98"/>
    <n v="1081.98"/>
    <s v="Correct"/>
    <x v="2"/>
    <n v="2023"/>
    <s v="Q1"/>
    <s v="Tablet"/>
  </r>
  <r>
    <s v="ORD200680"/>
    <d v="2023-08-27T00:00:00"/>
    <s v="C16702"/>
    <x v="0"/>
    <n v="3"/>
    <n v="463.39"/>
    <s v="694 Main St"/>
    <x v="2"/>
    <s v="Returned"/>
    <s v="TRK16953491"/>
    <n v="3"/>
    <s v="no coupoun"/>
    <s v="Facebook"/>
    <n v="1390.17"/>
    <n v="1390.17"/>
    <s v="Correct"/>
    <x v="1"/>
    <n v="2023"/>
    <s v="Q3"/>
    <s v="Monitor"/>
  </r>
  <r>
    <s v="ORD200681"/>
    <d v="2024-01-30T00:00:00"/>
    <s v="C38262"/>
    <x v="2"/>
    <n v="1"/>
    <n v="155.27000000000001"/>
    <s v="548 Main St"/>
    <x v="0"/>
    <s v="Shipped"/>
    <s v="TRK47300502"/>
    <n v="6"/>
    <s v="no coupoun"/>
    <s v="Email"/>
    <n v="155.27000000000001"/>
    <n v="155.27000000000001"/>
    <s v="Correct"/>
    <x v="0"/>
    <n v="2024"/>
    <s v="Q1"/>
    <s v="Tablet"/>
  </r>
  <r>
    <s v="ORD200682"/>
    <d v="2023-07-23T00:00:00"/>
    <s v="C50274"/>
    <x v="0"/>
    <n v="3"/>
    <n v="509.42"/>
    <s v="449 Main St"/>
    <x v="2"/>
    <s v="Cancelled"/>
    <s v="TRK91729086"/>
    <n v="5"/>
    <s v="FREESHIP"/>
    <s v="Google"/>
    <n v="1528.26"/>
    <n v="1528.26"/>
    <s v="Correct"/>
    <x v="10"/>
    <n v="2023"/>
    <s v="Q3"/>
    <s v="Monitor"/>
  </r>
  <r>
    <s v="ORD200683"/>
    <d v="2025-05-18T00:00:00"/>
    <s v="C91591"/>
    <x v="6"/>
    <n v="4"/>
    <n v="652.48"/>
    <s v="887 Main St"/>
    <x v="4"/>
    <s v="Pending"/>
    <s v="TRK23554043"/>
    <n v="5"/>
    <s v="FREESHIP"/>
    <s v="Instagram"/>
    <n v="2609.92"/>
    <n v="2609.92"/>
    <s v="Correct"/>
    <x v="4"/>
    <n v="2025"/>
    <s v="Q2"/>
    <s v="Desk"/>
  </r>
  <r>
    <s v="ORD200684"/>
    <d v="2024-09-22T00:00:00"/>
    <s v="C96583"/>
    <x v="4"/>
    <n v="4"/>
    <n v="34.840000000000003"/>
    <s v="288 Main St"/>
    <x v="2"/>
    <s v="Shipped"/>
    <s v="TRK64353241"/>
    <n v="8"/>
    <s v="no coupoun"/>
    <s v="Email"/>
    <n v="139.36000000000001"/>
    <n v="139.36000000000001"/>
    <s v="Correct"/>
    <x v="11"/>
    <n v="2024"/>
    <s v="Q3"/>
    <s v="Printer"/>
  </r>
  <r>
    <s v="ORD200685"/>
    <d v="2025-02-07T00:00:00"/>
    <s v="C64579"/>
    <x v="6"/>
    <n v="1"/>
    <n v="234.37"/>
    <s v="638 Main St"/>
    <x v="0"/>
    <s v="Shipped"/>
    <s v="TRK10276565"/>
    <n v="5"/>
    <s v="no coupoun"/>
    <s v="Email"/>
    <n v="234.37"/>
    <n v="234.37"/>
    <s v="Correct"/>
    <x v="2"/>
    <n v="2025"/>
    <s v="Q1"/>
    <s v="Desk"/>
  </r>
  <r>
    <s v="ORD200686"/>
    <d v="2023-10-09T00:00:00"/>
    <s v="C41903"/>
    <x v="6"/>
    <n v="3"/>
    <n v="53.6"/>
    <s v="525 Main St"/>
    <x v="4"/>
    <s v="Pending"/>
    <s v="TRK59112382"/>
    <n v="4"/>
    <s v="WINTER15"/>
    <s v="Facebook"/>
    <n v="160.80000000000001"/>
    <n v="160.80000000000001"/>
    <s v="Correct"/>
    <x v="3"/>
    <n v="2023"/>
    <s v="Q4"/>
    <s v="Desk"/>
  </r>
  <r>
    <s v="ORD200687"/>
    <d v="2023-09-13T00:00:00"/>
    <s v="C19742"/>
    <x v="2"/>
    <n v="1"/>
    <n v="332.09"/>
    <s v="408 Main St"/>
    <x v="3"/>
    <s v="Returned"/>
    <s v="TRK68845230"/>
    <n v="5"/>
    <s v="FREESHIP"/>
    <s v="Instagram"/>
    <n v="332.09"/>
    <n v="332.09"/>
    <s v="Correct"/>
    <x v="11"/>
    <n v="2023"/>
    <s v="Q3"/>
    <s v="Tablet"/>
  </r>
  <r>
    <s v="ORD200688"/>
    <d v="2024-03-06T00:00:00"/>
    <s v="C20077"/>
    <x v="0"/>
    <n v="4"/>
    <n v="593.22"/>
    <s v="154 Main St"/>
    <x v="2"/>
    <s v="Cancelled"/>
    <s v="TRK36415742"/>
    <n v="8"/>
    <s v="WINTER15"/>
    <s v="Facebook"/>
    <n v="2372.88"/>
    <n v="2372.88"/>
    <s v="Correct"/>
    <x v="9"/>
    <n v="2024"/>
    <s v="Q1"/>
    <s v="Monitor"/>
  </r>
  <r>
    <s v="ORD200689"/>
    <d v="2023-08-29T00:00:00"/>
    <s v="C13186"/>
    <x v="2"/>
    <n v="2"/>
    <n v="444.84"/>
    <s v="787 Main St"/>
    <x v="1"/>
    <s v="Shipped"/>
    <s v="TRK56967415"/>
    <n v="7"/>
    <s v="no coupoun"/>
    <s v="Facebook"/>
    <n v="889.68"/>
    <n v="889.68"/>
    <s v="Correct"/>
    <x v="1"/>
    <n v="2023"/>
    <s v="Q3"/>
    <s v="Tablet"/>
  </r>
  <r>
    <s v="ORD200690"/>
    <d v="2024-07-12T00:00:00"/>
    <s v="C29318"/>
    <x v="0"/>
    <n v="1"/>
    <n v="24.48"/>
    <s v="128 Main St"/>
    <x v="3"/>
    <s v="Returned"/>
    <s v="TRK88666721"/>
    <n v="1"/>
    <s v="no coupoun"/>
    <s v="Instagram"/>
    <n v="24.48"/>
    <n v="24.48"/>
    <s v="Correct"/>
    <x v="10"/>
    <n v="2024"/>
    <s v="Q3"/>
    <s v="Monitor"/>
  </r>
  <r>
    <s v="ORD200691"/>
    <d v="2024-11-24T00:00:00"/>
    <s v="C36137"/>
    <x v="5"/>
    <n v="3"/>
    <n v="239.08"/>
    <s v="396 Main St"/>
    <x v="4"/>
    <s v="Shipped"/>
    <s v="TRK57376416"/>
    <n v="8"/>
    <s v="no coupoun"/>
    <s v="Google"/>
    <n v="717.24"/>
    <n v="717.24"/>
    <s v="Correct"/>
    <x v="7"/>
    <n v="2024"/>
    <s v="Q4"/>
    <s v="Laptop"/>
  </r>
  <r>
    <s v="ORD200692"/>
    <d v="2023-01-23T00:00:00"/>
    <s v="C25534"/>
    <x v="6"/>
    <n v="5"/>
    <n v="196.84"/>
    <s v="319 Main St"/>
    <x v="2"/>
    <s v="Delivered"/>
    <s v="TRK68347402"/>
    <n v="5"/>
    <s v="WINTER15"/>
    <s v="Instagram"/>
    <n v="984.2"/>
    <n v="984.2"/>
    <s v="Correct"/>
    <x v="0"/>
    <n v="2023"/>
    <s v="Q1"/>
    <s v="Desk"/>
  </r>
  <r>
    <s v="ORD200693"/>
    <d v="2025-03-12T00:00:00"/>
    <s v="C62070"/>
    <x v="0"/>
    <n v="1"/>
    <n v="176.58"/>
    <s v="674 Main St"/>
    <x v="0"/>
    <s v="Returned"/>
    <s v="TRK10267127"/>
    <n v="4"/>
    <s v="no coupoun"/>
    <s v="Referral"/>
    <n v="176.58"/>
    <n v="176.58"/>
    <s v="Correct"/>
    <x v="9"/>
    <n v="2025"/>
    <s v="Q1"/>
    <s v="Monitor"/>
  </r>
  <r>
    <s v="ORD200694"/>
    <d v="2023-10-02T00:00:00"/>
    <s v="C92049"/>
    <x v="4"/>
    <n v="4"/>
    <n v="666.52"/>
    <s v="619 Main St"/>
    <x v="4"/>
    <s v="Shipped"/>
    <s v="TRK32287092"/>
    <n v="8"/>
    <s v="FREESHIP"/>
    <s v="Email"/>
    <n v="2666.08"/>
    <n v="2666.08"/>
    <s v="Correct"/>
    <x v="3"/>
    <n v="2023"/>
    <s v="Q4"/>
    <s v="Printer"/>
  </r>
  <r>
    <s v="ORD200695"/>
    <d v="2024-11-23T00:00:00"/>
    <s v="C52604"/>
    <x v="4"/>
    <n v="5"/>
    <n v="101.3"/>
    <s v="553 Main St"/>
    <x v="1"/>
    <s v="Shipped"/>
    <s v="TRK48839788"/>
    <n v="7"/>
    <s v="FREESHIP"/>
    <s v="Email"/>
    <n v="506.5"/>
    <n v="506.5"/>
    <s v="Correct"/>
    <x v="7"/>
    <n v="2024"/>
    <s v="Q4"/>
    <s v="Printer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s v="Facebook"/>
    <n v="604.79999999999995"/>
    <n v="604.79999999999995"/>
    <s v="Correct"/>
    <x v="10"/>
    <n v="2023"/>
    <s v="Q3"/>
    <s v="Chair"/>
  </r>
  <r>
    <s v="ORD200697"/>
    <d v="2025-02-04T00:00:00"/>
    <s v="C27430"/>
    <x v="4"/>
    <n v="5"/>
    <n v="94.85"/>
    <s v="788 Main St"/>
    <x v="4"/>
    <s v="Shipped"/>
    <s v="TRK45025840"/>
    <n v="6"/>
    <s v="WINTER15"/>
    <s v="Email"/>
    <n v="474.25"/>
    <n v="474.25"/>
    <s v="Correct"/>
    <x v="2"/>
    <n v="2025"/>
    <s v="Q1"/>
    <s v="Printer"/>
  </r>
  <r>
    <s v="ORD200698"/>
    <d v="2023-01-04T00:00:00"/>
    <s v="C44366"/>
    <x v="5"/>
    <n v="2"/>
    <n v="388.22"/>
    <s v="169 Main St"/>
    <x v="4"/>
    <s v="Delivered"/>
    <s v="TRK48658394"/>
    <n v="2"/>
    <s v="WINTER15"/>
    <s v="Instagram"/>
    <n v="776.44"/>
    <n v="776.44"/>
    <s v="Correct"/>
    <x v="0"/>
    <n v="2023"/>
    <s v="Q1"/>
    <s v="Laptop"/>
  </r>
  <r>
    <s v="ORD200699"/>
    <d v="2023-11-13T00:00:00"/>
    <s v="C36813"/>
    <x v="5"/>
    <n v="3"/>
    <n v="614.15"/>
    <s v="897 Main St"/>
    <x v="3"/>
    <s v="Cancelled"/>
    <s v="TRK84088900"/>
    <n v="3"/>
    <s v="no coupoun"/>
    <s v="Facebook"/>
    <n v="1842.45"/>
    <n v="1842.4499999999998"/>
    <s v="Correct"/>
    <x v="7"/>
    <n v="2023"/>
    <s v="Q4"/>
    <s v="Laptop"/>
  </r>
  <r>
    <s v="ORD200700"/>
    <d v="2024-09-25T00:00:00"/>
    <s v="C40201"/>
    <x v="5"/>
    <n v="2"/>
    <n v="92.91"/>
    <s v="555 Main St"/>
    <x v="4"/>
    <s v="Returned"/>
    <s v="TRK30198779"/>
    <n v="3"/>
    <s v="WINTER15"/>
    <s v="Instagram"/>
    <n v="185.82"/>
    <n v="185.82"/>
    <s v="Correct"/>
    <x v="11"/>
    <n v="2024"/>
    <s v="Q3"/>
    <s v="Laptop"/>
  </r>
  <r>
    <s v="ORD200701"/>
    <d v="2024-06-23T00:00:00"/>
    <s v="C75456"/>
    <x v="0"/>
    <n v="3"/>
    <n v="92.22"/>
    <s v="115 Main St"/>
    <x v="2"/>
    <s v="Delivered"/>
    <s v="TRK90519490"/>
    <n v="5"/>
    <s v="FREESHIP"/>
    <s v="Email"/>
    <n v="276.66000000000003"/>
    <n v="276.65999999999997"/>
    <s v="Correct"/>
    <x v="5"/>
    <n v="2024"/>
    <s v="Q2"/>
    <s v="Monitor"/>
  </r>
  <r>
    <s v="ORD200702"/>
    <d v="2024-06-09T00:00:00"/>
    <s v="C33315"/>
    <x v="4"/>
    <n v="3"/>
    <n v="562.54999999999995"/>
    <s v="154 Main St"/>
    <x v="0"/>
    <s v="Returned"/>
    <s v="TRK43589369"/>
    <n v="6"/>
    <s v="no coupoun"/>
    <s v="Email"/>
    <n v="1687.65"/>
    <n v="1687.6499999999999"/>
    <s v="Correct"/>
    <x v="5"/>
    <n v="2024"/>
    <s v="Q2"/>
    <s v="Printer"/>
  </r>
  <r>
    <s v="ORD200703"/>
    <d v="2023-03-22T00:00:00"/>
    <s v="C89336"/>
    <x v="6"/>
    <n v="1"/>
    <n v="92.79"/>
    <s v="799 Main St"/>
    <x v="4"/>
    <s v="Pending"/>
    <s v="TRK47665103"/>
    <n v="3"/>
    <s v="WINTER15"/>
    <s v="Email"/>
    <n v="92.79"/>
    <n v="92.79"/>
    <s v="Correct"/>
    <x v="9"/>
    <n v="2023"/>
    <s v="Q1"/>
    <s v="Desk"/>
  </r>
  <r>
    <s v="ORD200704"/>
    <d v="2023-06-03T00:00:00"/>
    <s v="C96034"/>
    <x v="6"/>
    <n v="4"/>
    <n v="30.27"/>
    <s v="819 Main St"/>
    <x v="1"/>
    <s v="Delivered"/>
    <s v="TRK87261034"/>
    <n v="9"/>
    <s v="FREESHIP"/>
    <s v="Google"/>
    <n v="121.08"/>
    <n v="121.08"/>
    <s v="Correct"/>
    <x v="5"/>
    <n v="2023"/>
    <s v="Q2"/>
    <s v="Desk"/>
  </r>
  <r>
    <s v="ORD200705"/>
    <d v="2025-03-30T00:00:00"/>
    <s v="C50114"/>
    <x v="0"/>
    <n v="2"/>
    <n v="49.08"/>
    <s v="420 Main St"/>
    <x v="0"/>
    <s v="Returned"/>
    <s v="TRK20214786"/>
    <n v="7"/>
    <s v="FREESHIP"/>
    <s v="Instagram"/>
    <n v="98.16"/>
    <n v="98.16"/>
    <s v="Correct"/>
    <x v="9"/>
    <n v="2025"/>
    <s v="Q1"/>
    <s v="Monitor"/>
  </r>
  <r>
    <s v="ORD200706"/>
    <d v="2025-03-02T00:00:00"/>
    <s v="C85330"/>
    <x v="6"/>
    <n v="5"/>
    <n v="228.09"/>
    <s v="969 Main St"/>
    <x v="3"/>
    <s v="Returned"/>
    <s v="TRK97693301"/>
    <n v="9"/>
    <s v="FREESHIP"/>
    <s v="Facebook"/>
    <n v="1140.45"/>
    <n v="1140.45"/>
    <s v="Correct"/>
    <x v="9"/>
    <n v="2025"/>
    <s v="Q1"/>
    <s v="Desk"/>
  </r>
  <r>
    <s v="ORD200707"/>
    <d v="2024-11-01T00:00:00"/>
    <s v="C31761"/>
    <x v="3"/>
    <n v="4"/>
    <n v="650.04"/>
    <s v="989 Main St"/>
    <x v="3"/>
    <s v="Cancelled"/>
    <s v="TRK17628852"/>
    <n v="6"/>
    <s v="SAVE10"/>
    <s v="Facebook"/>
    <n v="2600.16"/>
    <n v="2600.16"/>
    <s v="Correct"/>
    <x v="7"/>
    <n v="2024"/>
    <s v="Q4"/>
    <s v="Chair"/>
  </r>
  <r>
    <s v="ORD200708"/>
    <d v="2025-03-04T00:00:00"/>
    <s v="C25268"/>
    <x v="4"/>
    <n v="1"/>
    <n v="665.11"/>
    <s v="788 Main St"/>
    <x v="4"/>
    <s v="Pending"/>
    <s v="TRK20481215"/>
    <n v="3"/>
    <s v="FREESHIP"/>
    <s v="Instagram"/>
    <n v="665.11"/>
    <n v="665.11"/>
    <s v="Correct"/>
    <x v="9"/>
    <n v="2025"/>
    <s v="Q1"/>
    <s v="Printer"/>
  </r>
  <r>
    <s v="ORD200709"/>
    <d v="2024-12-07T00:00:00"/>
    <s v="C17132"/>
    <x v="6"/>
    <n v="1"/>
    <n v="386.03"/>
    <s v="855 Main St"/>
    <x v="1"/>
    <s v="Pending"/>
    <s v="TRK37504692"/>
    <n v="4"/>
    <s v="FREESHIP"/>
    <s v="Google"/>
    <n v="386.03"/>
    <n v="386.03"/>
    <s v="Correct"/>
    <x v="8"/>
    <n v="2024"/>
    <s v="Q4"/>
    <s v="Desk"/>
  </r>
  <r>
    <s v="ORD200710"/>
    <d v="2024-07-22T00:00:00"/>
    <s v="C48790"/>
    <x v="5"/>
    <n v="5"/>
    <n v="21.54"/>
    <s v="113 Main St"/>
    <x v="3"/>
    <s v="Returned"/>
    <s v="TRK19086608"/>
    <n v="10"/>
    <s v="no coupoun"/>
    <s v="Google"/>
    <n v="107.7"/>
    <n v="107.69999999999999"/>
    <s v="Correct"/>
    <x v="10"/>
    <n v="2024"/>
    <s v="Q3"/>
    <s v="Laptop"/>
  </r>
  <r>
    <s v="ORD200711"/>
    <d v="2024-07-04T00:00:00"/>
    <s v="C61070"/>
    <x v="2"/>
    <n v="2"/>
    <n v="475.78"/>
    <s v="632 Main St"/>
    <x v="1"/>
    <s v="Shipped"/>
    <s v="TRK90764894"/>
    <n v="2"/>
    <s v="WINTER15"/>
    <s v="Google"/>
    <n v="951.56"/>
    <n v="951.56"/>
    <s v="Correct"/>
    <x v="10"/>
    <n v="2024"/>
    <s v="Q3"/>
    <s v="Tablet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s v="Email"/>
    <n v="136.80000000000001"/>
    <n v="136.80000000000001"/>
    <s v="Correct"/>
    <x v="0"/>
    <n v="2024"/>
    <s v="Q1"/>
    <s v="Tablet"/>
  </r>
  <r>
    <s v="ORD200713"/>
    <d v="2025-06-21T00:00:00"/>
    <s v="C65056"/>
    <x v="2"/>
    <n v="4"/>
    <n v="532.49"/>
    <s v="638 Main St"/>
    <x v="1"/>
    <s v="Cancelled"/>
    <s v="TRK31705278"/>
    <n v="6"/>
    <s v="SAVE10"/>
    <s v="Facebook"/>
    <n v="2129.96"/>
    <n v="2129.96"/>
    <s v="Correct"/>
    <x v="5"/>
    <n v="2025"/>
    <s v="Q2"/>
    <s v="Tablet"/>
  </r>
  <r>
    <s v="ORD200714"/>
    <d v="2023-04-21T00:00:00"/>
    <s v="C84888"/>
    <x v="5"/>
    <n v="1"/>
    <n v="51.73"/>
    <s v="278 Main St"/>
    <x v="0"/>
    <s v="Pending"/>
    <s v="TRK23612847"/>
    <n v="1"/>
    <s v="FREESHIP"/>
    <s v="Facebook"/>
    <n v="51.73"/>
    <n v="51.73"/>
    <s v="Correct"/>
    <x v="6"/>
    <n v="2023"/>
    <s v="Q2"/>
    <s v="Laptop"/>
  </r>
  <r>
    <s v="ORD200715"/>
    <d v="2024-07-26T00:00:00"/>
    <s v="C68266"/>
    <x v="4"/>
    <n v="3"/>
    <n v="653.63"/>
    <s v="281 Main St"/>
    <x v="1"/>
    <s v="Delivered"/>
    <s v="TRK96161062"/>
    <n v="7"/>
    <s v="FREESHIP"/>
    <s v="Email"/>
    <n v="1960.89"/>
    <n v="1960.8899999999999"/>
    <s v="Correct"/>
    <x v="10"/>
    <n v="2024"/>
    <s v="Q3"/>
    <s v="Printer"/>
  </r>
  <r>
    <s v="ORD200716"/>
    <d v="2024-06-13T00:00:00"/>
    <s v="C84115"/>
    <x v="3"/>
    <n v="3"/>
    <n v="454.29"/>
    <s v="891 Main St"/>
    <x v="2"/>
    <s v="Pending"/>
    <s v="TRK25466842"/>
    <n v="4"/>
    <s v="WINTER15"/>
    <s v="Google"/>
    <n v="1362.87"/>
    <n v="1362.8700000000001"/>
    <s v="Correct"/>
    <x v="5"/>
    <n v="2024"/>
    <s v="Q2"/>
    <s v="Chair"/>
  </r>
  <r>
    <s v="ORD200717"/>
    <d v="2023-10-16T00:00:00"/>
    <s v="C50087"/>
    <x v="3"/>
    <n v="3"/>
    <n v="122.11"/>
    <s v="707 Main St"/>
    <x v="1"/>
    <s v="Delivered"/>
    <s v="TRK31143760"/>
    <n v="4"/>
    <s v="WINTER15"/>
    <s v="Email"/>
    <n v="366.33"/>
    <n v="366.33"/>
    <s v="Correct"/>
    <x v="3"/>
    <n v="2023"/>
    <s v="Q4"/>
    <s v="Chair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s v="Google"/>
    <n v="258.95999999999998"/>
    <n v="258.95999999999998"/>
    <s v="Correct"/>
    <x v="6"/>
    <n v="2023"/>
    <s v="Q2"/>
    <s v="Laptop"/>
  </r>
  <r>
    <s v="ORD200719"/>
    <d v="2024-01-21T00:00:00"/>
    <s v="C46920"/>
    <x v="5"/>
    <n v="2"/>
    <n v="681.06"/>
    <s v="703 Main St"/>
    <x v="0"/>
    <s v="Shipped"/>
    <s v="TRK86403837"/>
    <n v="3"/>
    <s v="FREESHIP"/>
    <s v="Facebook"/>
    <n v="1362.12"/>
    <n v="1362.12"/>
    <s v="Correct"/>
    <x v="0"/>
    <n v="2024"/>
    <s v="Q1"/>
    <s v="Laptop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s v="Instagram"/>
    <n v="644.75"/>
    <n v="644.75"/>
    <s v="Correct"/>
    <x v="11"/>
    <n v="2023"/>
    <s v="Q3"/>
    <s v="Desk"/>
  </r>
  <r>
    <s v="ORD200721"/>
    <d v="2024-03-18T00:00:00"/>
    <s v="C46557"/>
    <x v="6"/>
    <n v="2"/>
    <n v="118.59"/>
    <s v="890 Main St"/>
    <x v="2"/>
    <s v="Delivered"/>
    <s v="TRK56110689"/>
    <n v="2"/>
    <s v="no coupoun"/>
    <s v="Email"/>
    <n v="237.18"/>
    <n v="237.18"/>
    <s v="Correct"/>
    <x v="9"/>
    <n v="2024"/>
    <s v="Q1"/>
    <s v="Desk"/>
  </r>
  <r>
    <s v="ORD200722"/>
    <d v="2024-11-15T00:00:00"/>
    <s v="C58156"/>
    <x v="4"/>
    <n v="1"/>
    <n v="95.1"/>
    <s v="516 Main St"/>
    <x v="3"/>
    <s v="Pending"/>
    <s v="TRK49719458"/>
    <n v="1"/>
    <s v="WINTER15"/>
    <s v="Instagram"/>
    <n v="95.1"/>
    <n v="95.1"/>
    <s v="Correct"/>
    <x v="7"/>
    <n v="2024"/>
    <s v="Q4"/>
    <s v="Printer"/>
  </r>
  <r>
    <s v="ORD200723"/>
    <d v="2023-12-09T00:00:00"/>
    <s v="C14455"/>
    <x v="6"/>
    <n v="3"/>
    <n v="54.95"/>
    <s v="385 Main St"/>
    <x v="4"/>
    <s v="Returned"/>
    <s v="TRK50933724"/>
    <n v="8"/>
    <s v="SAVE10"/>
    <s v="Referral"/>
    <n v="164.85"/>
    <n v="164.85000000000002"/>
    <s v="Correct"/>
    <x v="8"/>
    <n v="2023"/>
    <s v="Q4"/>
    <s v="Desk"/>
  </r>
  <r>
    <s v="ORD200724"/>
    <d v="2024-10-18T00:00:00"/>
    <s v="C63150"/>
    <x v="4"/>
    <n v="3"/>
    <n v="136.97"/>
    <s v="326 Main St"/>
    <x v="2"/>
    <s v="Returned"/>
    <s v="TRK19348078"/>
    <n v="4"/>
    <s v="FREESHIP"/>
    <s v="Referral"/>
    <n v="410.91"/>
    <n v="410.90999999999997"/>
    <s v="Correct"/>
    <x v="3"/>
    <n v="2024"/>
    <s v="Q4"/>
    <s v="Printer"/>
  </r>
  <r>
    <s v="ORD200725"/>
    <d v="2023-03-12T00:00:00"/>
    <s v="C95269"/>
    <x v="3"/>
    <n v="2"/>
    <n v="194.85"/>
    <s v="372 Main St"/>
    <x v="3"/>
    <s v="Returned"/>
    <s v="TRK45670926"/>
    <n v="5"/>
    <s v="no coupoun"/>
    <s v="Referral"/>
    <n v="389.7"/>
    <n v="389.7"/>
    <s v="Correct"/>
    <x v="9"/>
    <n v="2023"/>
    <s v="Q1"/>
    <s v="Chair"/>
  </r>
  <r>
    <s v="ORD200726"/>
    <d v="2024-10-25T00:00:00"/>
    <s v="C18105"/>
    <x v="5"/>
    <n v="4"/>
    <n v="583.02"/>
    <s v="338 Main St"/>
    <x v="1"/>
    <s v="Delivered"/>
    <s v="TRK94006117"/>
    <n v="4"/>
    <s v="FREESHIP"/>
    <s v="Facebook"/>
    <n v="2332.08"/>
    <n v="2332.08"/>
    <s v="Correct"/>
    <x v="3"/>
    <n v="2024"/>
    <s v="Q4"/>
    <s v="Laptop"/>
  </r>
  <r>
    <s v="ORD200727"/>
    <d v="2024-09-29T00:00:00"/>
    <s v="C29063"/>
    <x v="3"/>
    <n v="5"/>
    <n v="95.75"/>
    <s v="379 Main St"/>
    <x v="1"/>
    <s v="Shipped"/>
    <s v="TRK92745947"/>
    <n v="8"/>
    <s v="SAVE10"/>
    <s v="Instagram"/>
    <n v="478.75"/>
    <n v="478.75"/>
    <s v="Correct"/>
    <x v="11"/>
    <n v="2024"/>
    <s v="Q3"/>
    <s v="Chair"/>
  </r>
  <r>
    <s v="ORD200728"/>
    <d v="2024-07-29T00:00:00"/>
    <s v="C10154"/>
    <x v="6"/>
    <n v="4"/>
    <n v="325.76"/>
    <s v="827 Main St"/>
    <x v="3"/>
    <s v="Shipped"/>
    <s v="TRK79793300"/>
    <n v="8"/>
    <s v="WINTER15"/>
    <s v="Email"/>
    <n v="1303.04"/>
    <n v="1303.04"/>
    <s v="Correct"/>
    <x v="10"/>
    <n v="2024"/>
    <s v="Q3"/>
    <s v="Desk"/>
  </r>
  <r>
    <s v="ORD200729"/>
    <d v="2023-09-08T00:00:00"/>
    <s v="C36997"/>
    <x v="1"/>
    <n v="4"/>
    <n v="186.41"/>
    <s v="819 Main St"/>
    <x v="3"/>
    <s v="Pending"/>
    <s v="TRK92794872"/>
    <n v="6"/>
    <s v="SAVE10"/>
    <s v="Google"/>
    <n v="745.64"/>
    <n v="745.64"/>
    <s v="Correct"/>
    <x v="11"/>
    <n v="2023"/>
    <s v="Q3"/>
    <s v="Phone"/>
  </r>
  <r>
    <s v="ORD200730"/>
    <d v="2025-02-22T00:00:00"/>
    <s v="C77357"/>
    <x v="1"/>
    <n v="1"/>
    <n v="474.6"/>
    <s v="407 Main St"/>
    <x v="0"/>
    <s v="Delivered"/>
    <s v="TRK91943923"/>
    <n v="4"/>
    <s v="SAVE10"/>
    <s v="Email"/>
    <n v="474.6"/>
    <n v="474.6"/>
    <s v="Correct"/>
    <x v="2"/>
    <n v="2025"/>
    <s v="Q1"/>
    <s v="Phone"/>
  </r>
  <r>
    <s v="ORD200731"/>
    <d v="2024-06-07T00:00:00"/>
    <s v="C71310"/>
    <x v="4"/>
    <n v="5"/>
    <n v="584.46"/>
    <s v="308 Main St"/>
    <x v="2"/>
    <s v="Returned"/>
    <s v="TRK48292586"/>
    <n v="8"/>
    <s v="no coupoun"/>
    <s v="Email"/>
    <n v="2922.3"/>
    <n v="2922.3"/>
    <s v="Correct"/>
    <x v="5"/>
    <n v="2024"/>
    <s v="Q2"/>
    <s v="Printer"/>
  </r>
  <r>
    <s v="ORD200732"/>
    <d v="2025-03-07T00:00:00"/>
    <s v="C80987"/>
    <x v="5"/>
    <n v="1"/>
    <n v="132.05000000000001"/>
    <s v="787 Main St"/>
    <x v="1"/>
    <s v="Delivered"/>
    <s v="TRK42187776"/>
    <n v="2"/>
    <s v="no coupoun"/>
    <s v="Google"/>
    <n v="132.05000000000001"/>
    <n v="132.05000000000001"/>
    <s v="Correct"/>
    <x v="9"/>
    <n v="2025"/>
    <s v="Q1"/>
    <s v="Laptop"/>
  </r>
  <r>
    <s v="ORD200733"/>
    <d v="2023-12-04T00:00:00"/>
    <s v="C90757"/>
    <x v="2"/>
    <n v="4"/>
    <n v="494.84"/>
    <s v="694 Main St"/>
    <x v="4"/>
    <s v="Returned"/>
    <s v="TRK87991608"/>
    <n v="8"/>
    <s v="SAVE10"/>
    <s v="Email"/>
    <n v="1979.36"/>
    <n v="1979.36"/>
    <s v="Correct"/>
    <x v="8"/>
    <n v="2023"/>
    <s v="Q4"/>
    <s v="Tablet"/>
  </r>
  <r>
    <s v="ORD200734"/>
    <d v="2024-01-23T00:00:00"/>
    <s v="C51898"/>
    <x v="4"/>
    <n v="4"/>
    <n v="224.61"/>
    <s v="630 Main St"/>
    <x v="2"/>
    <s v="Returned"/>
    <s v="TRK19767885"/>
    <n v="6"/>
    <s v="WINTER15"/>
    <s v="Facebook"/>
    <n v="898.44"/>
    <n v="898.44"/>
    <s v="Correct"/>
    <x v="0"/>
    <n v="2024"/>
    <s v="Q1"/>
    <s v="Printer"/>
  </r>
  <r>
    <s v="ORD200735"/>
    <d v="2024-06-28T00:00:00"/>
    <s v="C94508"/>
    <x v="0"/>
    <n v="4"/>
    <n v="44.07"/>
    <s v="359 Main St"/>
    <x v="0"/>
    <s v="Pending"/>
    <s v="TRK13443264"/>
    <n v="6"/>
    <s v="no coupoun"/>
    <s v="Email"/>
    <n v="176.28"/>
    <n v="176.28"/>
    <s v="Correct"/>
    <x v="5"/>
    <n v="2024"/>
    <s v="Q2"/>
    <s v="Monitor"/>
  </r>
  <r>
    <s v="ORD200736"/>
    <d v="2024-02-09T00:00:00"/>
    <s v="C59441"/>
    <x v="0"/>
    <n v="5"/>
    <n v="418.53"/>
    <s v="696 Main St"/>
    <x v="2"/>
    <s v="Pending"/>
    <s v="TRK66186874"/>
    <n v="6"/>
    <s v="FREESHIP"/>
    <s v="Google"/>
    <n v="2092.65"/>
    <n v="2092.6499999999996"/>
    <s v="Correct"/>
    <x v="2"/>
    <n v="2024"/>
    <s v="Q1"/>
    <s v="Monitor"/>
  </r>
  <r>
    <s v="ORD200737"/>
    <d v="2024-01-03T00:00:00"/>
    <s v="C91029"/>
    <x v="1"/>
    <n v="4"/>
    <n v="532.87"/>
    <s v="972 Main St"/>
    <x v="4"/>
    <s v="Pending"/>
    <s v="TRK25501930"/>
    <n v="9"/>
    <s v="FREESHIP"/>
    <s v="Instagram"/>
    <n v="2131.48"/>
    <n v="2131.48"/>
    <s v="Correct"/>
    <x v="0"/>
    <n v="2024"/>
    <s v="Q1"/>
    <s v="Phone"/>
  </r>
  <r>
    <s v="ORD200738"/>
    <d v="2025-06-04T00:00:00"/>
    <s v="C96261"/>
    <x v="1"/>
    <n v="2"/>
    <n v="485.37"/>
    <s v="264 Main St"/>
    <x v="2"/>
    <s v="Shipped"/>
    <s v="TRK44998396"/>
    <n v="5"/>
    <s v="SAVE10"/>
    <s v="Email"/>
    <n v="970.74"/>
    <n v="970.74"/>
    <s v="Correct"/>
    <x v="5"/>
    <n v="2025"/>
    <s v="Q2"/>
    <s v="Phone"/>
  </r>
  <r>
    <s v="ORD200739"/>
    <d v="2024-06-13T00:00:00"/>
    <s v="C35123"/>
    <x v="1"/>
    <n v="4"/>
    <n v="386.73"/>
    <s v="513 Main St"/>
    <x v="4"/>
    <s v="Delivered"/>
    <s v="TRK58979275"/>
    <n v="4"/>
    <s v="SAVE10"/>
    <s v="Facebook"/>
    <n v="1546.92"/>
    <n v="1546.92"/>
    <s v="Correct"/>
    <x v="5"/>
    <n v="2024"/>
    <s v="Q2"/>
    <s v="Phone"/>
  </r>
  <r>
    <s v="ORD200740"/>
    <d v="2024-07-20T00:00:00"/>
    <s v="C10892"/>
    <x v="6"/>
    <n v="2"/>
    <n v="377.47"/>
    <s v="433 Main St"/>
    <x v="4"/>
    <s v="Pending"/>
    <s v="TRK76154554"/>
    <n v="7"/>
    <s v="no coupoun"/>
    <s v="Google"/>
    <n v="754.94"/>
    <n v="754.94"/>
    <s v="Correct"/>
    <x v="10"/>
    <n v="2024"/>
    <s v="Q3"/>
    <s v="Desk"/>
  </r>
  <r>
    <s v="ORD200741"/>
    <d v="2025-01-23T00:00:00"/>
    <s v="C99683"/>
    <x v="0"/>
    <n v="5"/>
    <n v="332.64"/>
    <s v="945 Main St"/>
    <x v="3"/>
    <s v="Delivered"/>
    <s v="TRK87305883"/>
    <n v="10"/>
    <s v="no coupoun"/>
    <s v="Referral"/>
    <n v="1663.2"/>
    <n v="1663.1999999999998"/>
    <s v="Correct"/>
    <x v="0"/>
    <n v="2025"/>
    <s v="Q1"/>
    <s v="Monitor"/>
  </r>
  <r>
    <s v="ORD200742"/>
    <d v="2024-11-30T00:00:00"/>
    <s v="C41974"/>
    <x v="5"/>
    <n v="3"/>
    <n v="699.93"/>
    <s v="726 Main St"/>
    <x v="4"/>
    <s v="Returned"/>
    <s v="TRK48051468"/>
    <n v="7"/>
    <s v="SAVE10"/>
    <s v="Google"/>
    <n v="2099.79"/>
    <n v="2099.79"/>
    <s v="Correct"/>
    <x v="7"/>
    <n v="2024"/>
    <s v="Q4"/>
    <s v="Laptop"/>
  </r>
  <r>
    <s v="ORD200743"/>
    <d v="2024-09-30T00:00:00"/>
    <s v="C23978"/>
    <x v="0"/>
    <n v="1"/>
    <n v="576.35"/>
    <s v="549 Main St"/>
    <x v="3"/>
    <s v="Returned"/>
    <s v="TRK87090813"/>
    <n v="1"/>
    <s v="WINTER15"/>
    <s v="Instagram"/>
    <n v="576.35"/>
    <n v="576.35"/>
    <s v="Correct"/>
    <x v="11"/>
    <n v="2024"/>
    <s v="Q3"/>
    <s v="Monitor"/>
  </r>
  <r>
    <s v="ORD200744"/>
    <d v="2024-06-12T00:00:00"/>
    <s v="C10642"/>
    <x v="2"/>
    <n v="2"/>
    <n v="461.37"/>
    <s v="200 Main St"/>
    <x v="4"/>
    <s v="Delivered"/>
    <s v="TRK98725693"/>
    <n v="5"/>
    <s v="SAVE10"/>
    <s v="Google"/>
    <n v="922.74"/>
    <n v="922.74"/>
    <s v="Correct"/>
    <x v="5"/>
    <n v="2024"/>
    <s v="Q2"/>
    <s v="Tablet"/>
  </r>
  <r>
    <s v="ORD200745"/>
    <d v="2023-03-02T00:00:00"/>
    <s v="C73813"/>
    <x v="4"/>
    <n v="4"/>
    <n v="111.3"/>
    <s v="364 Main St"/>
    <x v="0"/>
    <s v="Pending"/>
    <s v="TRK89906749"/>
    <n v="7"/>
    <s v="FREESHIP"/>
    <s v="Email"/>
    <n v="445.2"/>
    <n v="445.2"/>
    <s v="Correct"/>
    <x v="9"/>
    <n v="2023"/>
    <s v="Q1"/>
    <s v="Printer"/>
  </r>
  <r>
    <s v="ORD200746"/>
    <d v="2025-02-24T00:00:00"/>
    <s v="C32183"/>
    <x v="6"/>
    <n v="3"/>
    <n v="661.89"/>
    <s v="551 Main St"/>
    <x v="1"/>
    <s v="Cancelled"/>
    <s v="TRK76287027"/>
    <n v="6"/>
    <s v="WINTER15"/>
    <s v="Referral"/>
    <n v="1985.67"/>
    <n v="1985.67"/>
    <s v="Correct"/>
    <x v="2"/>
    <n v="2025"/>
    <s v="Q1"/>
    <s v="Desk"/>
  </r>
  <r>
    <s v="ORD200747"/>
    <d v="2025-03-12T00:00:00"/>
    <s v="C54277"/>
    <x v="2"/>
    <n v="2"/>
    <n v="259.58"/>
    <s v="940 Main St"/>
    <x v="0"/>
    <s v="Delivered"/>
    <s v="TRK26500181"/>
    <n v="7"/>
    <s v="FREESHIP"/>
    <s v="Instagram"/>
    <n v="519.16"/>
    <n v="519.16"/>
    <s v="Correct"/>
    <x v="9"/>
    <n v="2025"/>
    <s v="Q1"/>
    <s v="Tablet"/>
  </r>
  <r>
    <s v="ORD200748"/>
    <d v="2024-07-15T00:00:00"/>
    <s v="C56553"/>
    <x v="2"/>
    <n v="3"/>
    <n v="70.81"/>
    <s v="249 Main St"/>
    <x v="2"/>
    <s v="Shipped"/>
    <s v="TRK37667360"/>
    <n v="8"/>
    <s v="FREESHIP"/>
    <s v="Referral"/>
    <n v="212.43"/>
    <n v="212.43"/>
    <s v="Correct"/>
    <x v="10"/>
    <n v="2024"/>
    <s v="Q3"/>
    <s v="Tablet"/>
  </r>
  <r>
    <s v="ORD200749"/>
    <d v="2025-04-13T00:00:00"/>
    <s v="C17551"/>
    <x v="5"/>
    <n v="1"/>
    <n v="518.39"/>
    <s v="997 Main St"/>
    <x v="0"/>
    <s v="Pending"/>
    <s v="TRK88797170"/>
    <n v="4"/>
    <s v="FREESHIP"/>
    <s v="Instagram"/>
    <n v="518.39"/>
    <n v="518.39"/>
    <s v="Correct"/>
    <x v="6"/>
    <n v="2025"/>
    <s v="Q2"/>
    <s v="Laptop"/>
  </r>
  <r>
    <s v="ORD200750"/>
    <d v="2023-01-14T00:00:00"/>
    <s v="C14737"/>
    <x v="2"/>
    <n v="4"/>
    <n v="145.41"/>
    <s v="637 Main St"/>
    <x v="2"/>
    <s v="Returned"/>
    <s v="TRK10295115"/>
    <n v="7"/>
    <s v="FREESHIP"/>
    <s v="Email"/>
    <n v="581.64"/>
    <n v="581.64"/>
    <s v="Correct"/>
    <x v="0"/>
    <n v="2023"/>
    <s v="Q1"/>
    <s v="Tablet"/>
  </r>
  <r>
    <s v="ORD200751"/>
    <d v="2023-01-24T00:00:00"/>
    <s v="C35168"/>
    <x v="2"/>
    <n v="2"/>
    <n v="599.86"/>
    <s v="455 Main St"/>
    <x v="3"/>
    <s v="Pending"/>
    <s v="TRK76960854"/>
    <n v="7"/>
    <s v="FREESHIP"/>
    <s v="Facebook"/>
    <n v="1199.72"/>
    <n v="1199.72"/>
    <s v="Correct"/>
    <x v="0"/>
    <n v="2023"/>
    <s v="Q1"/>
    <s v="Tablet"/>
  </r>
  <r>
    <s v="ORD200752"/>
    <d v="2024-10-03T00:00:00"/>
    <s v="C82217"/>
    <x v="1"/>
    <n v="4"/>
    <n v="429.37"/>
    <s v="299 Main St"/>
    <x v="2"/>
    <s v="Delivered"/>
    <s v="TRK33305694"/>
    <n v="8"/>
    <s v="FREESHIP"/>
    <s v="Google"/>
    <n v="1717.48"/>
    <n v="1717.48"/>
    <s v="Correct"/>
    <x v="3"/>
    <n v="2024"/>
    <s v="Q4"/>
    <s v="Phone"/>
  </r>
  <r>
    <s v="ORD200753"/>
    <d v="2024-04-24T00:00:00"/>
    <s v="C42270"/>
    <x v="1"/>
    <n v="2"/>
    <n v="241.49"/>
    <s v="864 Main St"/>
    <x v="0"/>
    <s v="Returned"/>
    <s v="TRK72697796"/>
    <n v="7"/>
    <s v="FREESHIP"/>
    <s v="Instagram"/>
    <n v="482.98"/>
    <n v="482.98"/>
    <s v="Correct"/>
    <x v="6"/>
    <n v="2024"/>
    <s v="Q2"/>
    <s v="Phone"/>
  </r>
  <r>
    <s v="ORD200754"/>
    <d v="2025-05-31T00:00:00"/>
    <s v="C48846"/>
    <x v="4"/>
    <n v="2"/>
    <n v="452.05"/>
    <s v="983 Main St"/>
    <x v="2"/>
    <s v="Returned"/>
    <s v="TRK52804097"/>
    <n v="3"/>
    <s v="WINTER15"/>
    <s v="Email"/>
    <n v="904.1"/>
    <n v="904.1"/>
    <s v="Correct"/>
    <x v="4"/>
    <n v="2025"/>
    <s v="Q2"/>
    <s v="Printer"/>
  </r>
  <r>
    <s v="ORD200755"/>
    <d v="2023-06-13T00:00:00"/>
    <s v="C54160"/>
    <x v="6"/>
    <n v="3"/>
    <n v="336.71"/>
    <s v="658 Main St"/>
    <x v="2"/>
    <s v="Pending"/>
    <s v="TRK60515972"/>
    <n v="4"/>
    <s v="no coupoun"/>
    <s v="Email"/>
    <n v="1010.13"/>
    <n v="1010.1299999999999"/>
    <s v="Correct"/>
    <x v="5"/>
    <n v="2023"/>
    <s v="Q2"/>
    <s v="Desk"/>
  </r>
  <r>
    <s v="ORD200756"/>
    <d v="2024-06-27T00:00:00"/>
    <s v="C14080"/>
    <x v="1"/>
    <n v="1"/>
    <n v="283.69"/>
    <s v="202 Main St"/>
    <x v="3"/>
    <s v="Shipped"/>
    <s v="TRK93163682"/>
    <n v="6"/>
    <s v="no coupoun"/>
    <s v="Google"/>
    <n v="283.69"/>
    <n v="283.69"/>
    <s v="Correct"/>
    <x v="5"/>
    <n v="2024"/>
    <s v="Q2"/>
    <s v="Phone"/>
  </r>
  <r>
    <s v="ORD200757"/>
    <d v="2024-02-22T00:00:00"/>
    <s v="C81074"/>
    <x v="6"/>
    <n v="1"/>
    <n v="157.72"/>
    <s v="597 Main St"/>
    <x v="0"/>
    <s v="Delivered"/>
    <s v="TRK91105190"/>
    <n v="2"/>
    <s v="FREESHIP"/>
    <s v="Google"/>
    <n v="157.72"/>
    <n v="157.72"/>
    <s v="Correct"/>
    <x v="2"/>
    <n v="2024"/>
    <s v="Q1"/>
    <s v="Desk"/>
  </r>
  <r>
    <s v="ORD200758"/>
    <d v="2023-03-26T00:00:00"/>
    <s v="C69021"/>
    <x v="2"/>
    <n v="3"/>
    <n v="624.84"/>
    <s v="917 Main St"/>
    <x v="2"/>
    <s v="Cancelled"/>
    <s v="TRK57148510"/>
    <n v="8"/>
    <s v="WINTER15"/>
    <s v="Facebook"/>
    <n v="1874.52"/>
    <n v="1874.52"/>
    <s v="Correct"/>
    <x v="9"/>
    <n v="2023"/>
    <s v="Q1"/>
    <s v="Tablet"/>
  </r>
  <r>
    <s v="ORD200759"/>
    <d v="2023-07-24T00:00:00"/>
    <s v="C96283"/>
    <x v="6"/>
    <n v="3"/>
    <n v="308.01"/>
    <s v="366 Main St"/>
    <x v="4"/>
    <s v="Pending"/>
    <s v="TRK91784124"/>
    <n v="3"/>
    <s v="FREESHIP"/>
    <s v="Facebook"/>
    <n v="924.03"/>
    <n v="924.03"/>
    <s v="Correct"/>
    <x v="10"/>
    <n v="2023"/>
    <s v="Q3"/>
    <s v="Desk"/>
  </r>
  <r>
    <s v="ORD200760"/>
    <d v="2025-02-18T00:00:00"/>
    <s v="C96636"/>
    <x v="6"/>
    <n v="1"/>
    <n v="39.56"/>
    <s v="283 Main St"/>
    <x v="0"/>
    <s v="Cancelled"/>
    <s v="TRK73324346"/>
    <n v="5"/>
    <s v="no coupoun"/>
    <s v="Google"/>
    <n v="39.56"/>
    <n v="39.56"/>
    <s v="Correct"/>
    <x v="2"/>
    <n v="2025"/>
    <s v="Q1"/>
    <s v="Desk"/>
  </r>
  <r>
    <s v="ORD200761"/>
    <d v="2023-06-02T00:00:00"/>
    <s v="C37235"/>
    <x v="6"/>
    <n v="4"/>
    <n v="37.76"/>
    <s v="217 Main St"/>
    <x v="0"/>
    <s v="Delivered"/>
    <s v="TRK67789367"/>
    <n v="7"/>
    <s v="no coupoun"/>
    <s v="Google"/>
    <n v="151.04"/>
    <n v="151.04"/>
    <s v="Correct"/>
    <x v="5"/>
    <n v="2023"/>
    <s v="Q2"/>
    <s v="Desk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s v="Email"/>
    <n v="230.88"/>
    <n v="230.88"/>
    <s v="Correct"/>
    <x v="11"/>
    <n v="2024"/>
    <s v="Q3"/>
    <s v="Phone"/>
  </r>
  <r>
    <s v="ORD200763"/>
    <d v="2023-04-06T00:00:00"/>
    <s v="C79142"/>
    <x v="5"/>
    <n v="1"/>
    <n v="569.96"/>
    <s v="533 Main St"/>
    <x v="1"/>
    <s v="Delivered"/>
    <s v="TRK30915955"/>
    <n v="4"/>
    <s v="FREESHIP"/>
    <s v="Email"/>
    <n v="569.96"/>
    <n v="569.96"/>
    <s v="Correct"/>
    <x v="6"/>
    <n v="2023"/>
    <s v="Q2"/>
    <s v="Laptop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s v="Email"/>
    <n v="3137.15"/>
    <n v="3137.1499999999996"/>
    <s v="Correct"/>
    <x v="9"/>
    <n v="2024"/>
    <s v="Q1"/>
    <s v="Laptop"/>
  </r>
  <r>
    <s v="ORD200765"/>
    <d v="2023-10-06T00:00:00"/>
    <s v="C36150"/>
    <x v="5"/>
    <n v="2"/>
    <n v="534.91"/>
    <s v="281 Main St"/>
    <x v="0"/>
    <s v="Returned"/>
    <s v="TRK96249043"/>
    <n v="5"/>
    <s v="SAVE10"/>
    <s v="Google"/>
    <n v="1069.82"/>
    <n v="1069.82"/>
    <s v="Correct"/>
    <x v="3"/>
    <n v="2023"/>
    <s v="Q4"/>
    <s v="Laptop"/>
  </r>
  <r>
    <s v="ORD200766"/>
    <d v="2023-01-22T00:00:00"/>
    <s v="C91454"/>
    <x v="4"/>
    <n v="2"/>
    <n v="278.88"/>
    <s v="494 Main St"/>
    <x v="0"/>
    <s v="Pending"/>
    <s v="TRK99985340"/>
    <n v="3"/>
    <s v="FREESHIP"/>
    <s v="Referral"/>
    <n v="557.76"/>
    <n v="557.76"/>
    <s v="Correct"/>
    <x v="0"/>
    <n v="2023"/>
    <s v="Q1"/>
    <s v="Printer"/>
  </r>
  <r>
    <s v="ORD200767"/>
    <d v="2025-04-18T00:00:00"/>
    <s v="C19368"/>
    <x v="2"/>
    <n v="2"/>
    <n v="323.22000000000003"/>
    <s v="517 Main St"/>
    <x v="2"/>
    <s v="Delivered"/>
    <s v="TRK80436037"/>
    <n v="7"/>
    <s v="no coupoun"/>
    <s v="Instagram"/>
    <n v="646.44000000000005"/>
    <n v="646.44000000000005"/>
    <s v="Correct"/>
    <x v="6"/>
    <n v="2025"/>
    <s v="Q2"/>
    <s v="Tablet"/>
  </r>
  <r>
    <s v="ORD200768"/>
    <d v="2023-09-04T00:00:00"/>
    <s v="C35987"/>
    <x v="2"/>
    <n v="5"/>
    <n v="653.46"/>
    <s v="165 Main St"/>
    <x v="4"/>
    <s v="Cancelled"/>
    <s v="TRK28918815"/>
    <n v="9"/>
    <s v="WINTER15"/>
    <s v="Email"/>
    <n v="3267.3"/>
    <n v="3267.3"/>
    <s v="Correct"/>
    <x v="11"/>
    <n v="2023"/>
    <s v="Q3"/>
    <s v="Tablet"/>
  </r>
  <r>
    <s v="ORD200769"/>
    <d v="2023-07-06T00:00:00"/>
    <s v="C13366"/>
    <x v="4"/>
    <n v="4"/>
    <n v="678.55"/>
    <s v="568 Main St"/>
    <x v="4"/>
    <s v="Delivered"/>
    <s v="TRK98691410"/>
    <n v="5"/>
    <s v="no coupoun"/>
    <s v="Email"/>
    <n v="2714.2"/>
    <n v="2714.2"/>
    <s v="Correct"/>
    <x v="10"/>
    <n v="2023"/>
    <s v="Q3"/>
    <s v="Printer"/>
  </r>
  <r>
    <s v="ORD200770"/>
    <d v="2024-02-11T00:00:00"/>
    <s v="C72166"/>
    <x v="6"/>
    <n v="1"/>
    <n v="314.38"/>
    <s v="227 Main St"/>
    <x v="1"/>
    <s v="Returned"/>
    <s v="TRK67733444"/>
    <n v="6"/>
    <s v="no coupoun"/>
    <s v="Google"/>
    <n v="314.38"/>
    <n v="314.38"/>
    <s v="Correct"/>
    <x v="2"/>
    <n v="2024"/>
    <s v="Q1"/>
    <s v="Desk"/>
  </r>
  <r>
    <s v="ORD200771"/>
    <d v="2024-06-12T00:00:00"/>
    <s v="C20357"/>
    <x v="1"/>
    <n v="3"/>
    <n v="692.44"/>
    <s v="272 Main St"/>
    <x v="0"/>
    <s v="Cancelled"/>
    <s v="TRK82236408"/>
    <n v="8"/>
    <s v="FREESHIP"/>
    <s v="Google"/>
    <n v="2077.3200000000002"/>
    <n v="2077.3200000000002"/>
    <s v="Correct"/>
    <x v="5"/>
    <n v="2024"/>
    <s v="Q2"/>
    <s v="Phone"/>
  </r>
  <r>
    <s v="ORD200772"/>
    <d v="2024-07-28T00:00:00"/>
    <s v="C33802"/>
    <x v="0"/>
    <n v="1"/>
    <n v="604.87"/>
    <s v="461 Main St"/>
    <x v="1"/>
    <s v="Delivered"/>
    <s v="TRK25799478"/>
    <n v="4"/>
    <s v="no coupoun"/>
    <s v="Instagram"/>
    <n v="604.87"/>
    <n v="604.87"/>
    <s v="Correct"/>
    <x v="10"/>
    <n v="2024"/>
    <s v="Q3"/>
    <s v="Monitor"/>
  </r>
  <r>
    <s v="ORD200773"/>
    <d v="2025-06-28T00:00:00"/>
    <s v="C99205"/>
    <x v="1"/>
    <n v="2"/>
    <n v="512.33000000000004"/>
    <s v="415 Main St"/>
    <x v="4"/>
    <s v="Cancelled"/>
    <s v="TRK48904015"/>
    <n v="7"/>
    <s v="no coupoun"/>
    <s v="Facebook"/>
    <n v="1024.6600000000001"/>
    <n v="1024.6600000000001"/>
    <s v="Correct"/>
    <x v="5"/>
    <n v="2025"/>
    <s v="Q2"/>
    <s v="Phone"/>
  </r>
  <r>
    <s v="ORD200774"/>
    <d v="2025-04-15T00:00:00"/>
    <s v="C29701"/>
    <x v="3"/>
    <n v="3"/>
    <n v="20.54"/>
    <s v="257 Main St"/>
    <x v="2"/>
    <s v="Cancelled"/>
    <s v="TRK42266846"/>
    <n v="3"/>
    <s v="FREESHIP"/>
    <s v="Instagram"/>
    <n v="61.62"/>
    <n v="61.62"/>
    <s v="Correct"/>
    <x v="6"/>
    <n v="2025"/>
    <s v="Q2"/>
    <s v="Chair"/>
  </r>
  <r>
    <s v="ORD200775"/>
    <d v="2023-03-04T00:00:00"/>
    <s v="C73941"/>
    <x v="1"/>
    <n v="2"/>
    <n v="625.22"/>
    <s v="569 Main St"/>
    <x v="1"/>
    <s v="Cancelled"/>
    <s v="TRK22051900"/>
    <n v="5"/>
    <s v="no coupoun"/>
    <s v="Google"/>
    <n v="1250.44"/>
    <n v="1250.44"/>
    <s v="Correct"/>
    <x v="9"/>
    <n v="2023"/>
    <s v="Q1"/>
    <s v="Phone"/>
  </r>
  <r>
    <s v="ORD200776"/>
    <d v="2023-08-21T00:00:00"/>
    <s v="C69168"/>
    <x v="2"/>
    <n v="1"/>
    <n v="21.19"/>
    <s v="482 Main St"/>
    <x v="4"/>
    <s v="Returned"/>
    <s v="TRK10446197"/>
    <n v="5"/>
    <s v="WINTER15"/>
    <s v="Google"/>
    <n v="21.19"/>
    <n v="21.19"/>
    <s v="Correct"/>
    <x v="1"/>
    <n v="2023"/>
    <s v="Q3"/>
    <s v="Tablet"/>
  </r>
  <r>
    <s v="ORD200777"/>
    <d v="2025-03-21T00:00:00"/>
    <s v="C66116"/>
    <x v="3"/>
    <n v="5"/>
    <n v="64.489999999999995"/>
    <s v="633 Main St"/>
    <x v="1"/>
    <s v="Cancelled"/>
    <s v="TRK41967983"/>
    <n v="7"/>
    <s v="no coupoun"/>
    <s v="Facebook"/>
    <n v="322.45"/>
    <n v="322.45"/>
    <s v="Correct"/>
    <x v="9"/>
    <n v="2025"/>
    <s v="Q1"/>
    <s v="Chair"/>
  </r>
  <r>
    <s v="ORD200778"/>
    <d v="2023-04-28T00:00:00"/>
    <s v="C85059"/>
    <x v="5"/>
    <n v="4"/>
    <n v="246.85"/>
    <s v="316 Main St"/>
    <x v="2"/>
    <s v="Shipped"/>
    <s v="TRK56503740"/>
    <n v="8"/>
    <s v="WINTER15"/>
    <s v="Google"/>
    <n v="987.4"/>
    <n v="987.4"/>
    <s v="Correct"/>
    <x v="6"/>
    <n v="2023"/>
    <s v="Q2"/>
    <s v="Laptop"/>
  </r>
  <r>
    <s v="ORD200779"/>
    <d v="2023-12-01T00:00:00"/>
    <s v="C18076"/>
    <x v="1"/>
    <n v="3"/>
    <n v="588.74"/>
    <s v="751 Main St"/>
    <x v="0"/>
    <s v="Pending"/>
    <s v="TRK26661705"/>
    <n v="8"/>
    <s v="FREESHIP"/>
    <s v="Email"/>
    <n v="1766.22"/>
    <n v="1766.22"/>
    <s v="Correct"/>
    <x v="8"/>
    <n v="2023"/>
    <s v="Q4"/>
    <s v="Phone"/>
  </r>
  <r>
    <s v="ORD200780"/>
    <d v="2024-03-31T00:00:00"/>
    <s v="C41284"/>
    <x v="5"/>
    <n v="4"/>
    <n v="184.48"/>
    <s v="661 Main St"/>
    <x v="1"/>
    <s v="Cancelled"/>
    <s v="TRK73613128"/>
    <n v="4"/>
    <s v="WINTER15"/>
    <s v="Google"/>
    <n v="737.92"/>
    <n v="737.92"/>
    <s v="Correct"/>
    <x v="9"/>
    <n v="2024"/>
    <s v="Q1"/>
    <s v="Laptop"/>
  </r>
  <r>
    <s v="ORD200781"/>
    <d v="2024-01-10T00:00:00"/>
    <s v="C43524"/>
    <x v="1"/>
    <n v="5"/>
    <n v="524.26"/>
    <s v="934 Main St"/>
    <x v="3"/>
    <s v="Delivered"/>
    <s v="TRK51479426"/>
    <n v="5"/>
    <s v="FREESHIP"/>
    <s v="Referral"/>
    <n v="2621.3000000000002"/>
    <n v="2621.3000000000002"/>
    <s v="Correct"/>
    <x v="0"/>
    <n v="2024"/>
    <s v="Q1"/>
    <s v="Phone"/>
  </r>
  <r>
    <s v="ORD200782"/>
    <d v="2024-08-11T00:00:00"/>
    <s v="C58063"/>
    <x v="0"/>
    <n v="2"/>
    <n v="493.63"/>
    <s v="167 Main St"/>
    <x v="1"/>
    <s v="Returned"/>
    <s v="TRK50548869"/>
    <n v="6"/>
    <s v="SAVE10"/>
    <s v="Referral"/>
    <n v="987.26"/>
    <n v="987.26"/>
    <s v="Correct"/>
    <x v="1"/>
    <n v="2024"/>
    <s v="Q3"/>
    <s v="Monitor"/>
  </r>
  <r>
    <s v="ORD200783"/>
    <d v="2025-05-26T00:00:00"/>
    <s v="C19937"/>
    <x v="4"/>
    <n v="1"/>
    <n v="438.34"/>
    <s v="281 Main St"/>
    <x v="3"/>
    <s v="Returned"/>
    <s v="TRK46990083"/>
    <n v="5"/>
    <s v="FREESHIP"/>
    <s v="Facebook"/>
    <n v="438.34"/>
    <n v="438.34"/>
    <s v="Correct"/>
    <x v="4"/>
    <n v="2025"/>
    <s v="Q2"/>
    <s v="Printer"/>
  </r>
  <r>
    <s v="ORD200784"/>
    <d v="2025-05-16T00:00:00"/>
    <s v="C21191"/>
    <x v="5"/>
    <n v="1"/>
    <n v="325.81"/>
    <s v="232 Main St"/>
    <x v="2"/>
    <s v="Pending"/>
    <s v="TRK85771230"/>
    <n v="1"/>
    <s v="WINTER15"/>
    <s v="Referral"/>
    <n v="325.81"/>
    <n v="325.81"/>
    <s v="Correct"/>
    <x v="4"/>
    <n v="2025"/>
    <s v="Q2"/>
    <s v="Laptop"/>
  </r>
  <r>
    <s v="ORD200785"/>
    <d v="2023-07-29T00:00:00"/>
    <s v="C45862"/>
    <x v="3"/>
    <n v="1"/>
    <n v="176.1"/>
    <s v="342 Main St"/>
    <x v="2"/>
    <s v="Pending"/>
    <s v="TRK53089983"/>
    <n v="1"/>
    <s v="SAVE10"/>
    <s v="Instagram"/>
    <n v="176.1"/>
    <n v="176.1"/>
    <s v="Correct"/>
    <x v="10"/>
    <n v="2023"/>
    <s v="Q3"/>
    <s v="Chair"/>
  </r>
  <r>
    <s v="ORD200786"/>
    <d v="2023-08-23T00:00:00"/>
    <s v="C39130"/>
    <x v="3"/>
    <n v="5"/>
    <n v="45.31"/>
    <s v="774 Main St"/>
    <x v="1"/>
    <s v="Cancelled"/>
    <s v="TRK99583414"/>
    <n v="8"/>
    <s v="no coupoun"/>
    <s v="Referral"/>
    <n v="226.55"/>
    <n v="226.55"/>
    <s v="Correct"/>
    <x v="1"/>
    <n v="2023"/>
    <s v="Q3"/>
    <s v="Chair"/>
  </r>
  <r>
    <s v="ORD200787"/>
    <d v="2024-03-17T00:00:00"/>
    <s v="C18167"/>
    <x v="6"/>
    <n v="4"/>
    <n v="221.96"/>
    <s v="193 Main St"/>
    <x v="4"/>
    <s v="Delivered"/>
    <s v="TRK36841089"/>
    <n v="7"/>
    <s v="no coupoun"/>
    <s v="Google"/>
    <n v="887.84"/>
    <n v="887.84"/>
    <s v="Correct"/>
    <x v="9"/>
    <n v="2024"/>
    <s v="Q1"/>
    <s v="Desk"/>
  </r>
  <r>
    <s v="ORD200788"/>
    <d v="2023-11-02T00:00:00"/>
    <s v="C47307"/>
    <x v="3"/>
    <n v="2"/>
    <n v="601.42999999999995"/>
    <s v="761 Main St"/>
    <x v="1"/>
    <s v="Pending"/>
    <s v="TRK43516112"/>
    <n v="5"/>
    <s v="no coupoun"/>
    <s v="Instagram"/>
    <n v="1202.8599999999999"/>
    <n v="1202.8599999999999"/>
    <s v="Correct"/>
    <x v="7"/>
    <n v="2023"/>
    <s v="Q4"/>
    <s v="Chair"/>
  </r>
  <r>
    <s v="ORD200789"/>
    <d v="2023-08-17T00:00:00"/>
    <s v="C57276"/>
    <x v="2"/>
    <n v="5"/>
    <n v="691.28"/>
    <s v="183 Main St"/>
    <x v="1"/>
    <s v="Delivered"/>
    <s v="TRK75899752"/>
    <n v="10"/>
    <s v="SAVE10"/>
    <s v="Email"/>
    <n v="3456.4"/>
    <n v="3456.3999999999996"/>
    <s v="Correct"/>
    <x v="1"/>
    <n v="2023"/>
    <s v="Q3"/>
    <s v="Tablet"/>
  </r>
  <r>
    <s v="ORD200790"/>
    <d v="2024-09-14T00:00:00"/>
    <s v="C38928"/>
    <x v="5"/>
    <n v="4"/>
    <n v="417.89"/>
    <s v="302 Main St"/>
    <x v="3"/>
    <s v="Pending"/>
    <s v="TRK96636009"/>
    <n v="4"/>
    <s v="no coupoun"/>
    <s v="Google"/>
    <n v="1671.56"/>
    <n v="1671.56"/>
    <s v="Correct"/>
    <x v="11"/>
    <n v="2024"/>
    <s v="Q3"/>
    <s v="Laptop"/>
  </r>
  <r>
    <s v="ORD200791"/>
    <d v="2024-01-13T00:00:00"/>
    <s v="C49710"/>
    <x v="3"/>
    <n v="4"/>
    <n v="409.28"/>
    <s v="956 Main St"/>
    <x v="4"/>
    <s v="Pending"/>
    <s v="TRK92591237"/>
    <n v="8"/>
    <s v="no coupoun"/>
    <s v="Email"/>
    <n v="1637.12"/>
    <n v="1637.12"/>
    <s v="Correct"/>
    <x v="0"/>
    <n v="2024"/>
    <s v="Q1"/>
    <s v="Chair"/>
  </r>
  <r>
    <s v="ORD200792"/>
    <d v="2023-06-16T00:00:00"/>
    <s v="C41709"/>
    <x v="6"/>
    <n v="2"/>
    <n v="356.35"/>
    <s v="746 Main St"/>
    <x v="0"/>
    <s v="Returned"/>
    <s v="TRK90995294"/>
    <n v="6"/>
    <s v="WINTER15"/>
    <s v="Facebook"/>
    <n v="712.7"/>
    <n v="712.7"/>
    <s v="Correct"/>
    <x v="5"/>
    <n v="2023"/>
    <s v="Q2"/>
    <s v="Desk"/>
  </r>
  <r>
    <s v="ORD200793"/>
    <d v="2024-04-15T00:00:00"/>
    <s v="C91255"/>
    <x v="3"/>
    <n v="5"/>
    <n v="170.22"/>
    <s v="769 Main St"/>
    <x v="0"/>
    <s v="Delivered"/>
    <s v="TRK69599961"/>
    <n v="8"/>
    <s v="no coupoun"/>
    <s v="Referral"/>
    <n v="851.1"/>
    <n v="851.1"/>
    <s v="Correct"/>
    <x v="6"/>
    <n v="2024"/>
    <s v="Q2"/>
    <s v="Chair"/>
  </r>
  <r>
    <s v="ORD200794"/>
    <d v="2023-03-09T00:00:00"/>
    <s v="C76653"/>
    <x v="4"/>
    <n v="4"/>
    <n v="384.85"/>
    <s v="988 Main St"/>
    <x v="1"/>
    <s v="Delivered"/>
    <s v="TRK77052196"/>
    <n v="9"/>
    <s v="no coupoun"/>
    <s v="Instagram"/>
    <n v="1539.4"/>
    <n v="1539.4"/>
    <s v="Correct"/>
    <x v="9"/>
    <n v="2023"/>
    <s v="Q1"/>
    <s v="Printer"/>
  </r>
  <r>
    <s v="ORD200795"/>
    <d v="2024-11-20T00:00:00"/>
    <s v="C95667"/>
    <x v="5"/>
    <n v="4"/>
    <n v="115.77"/>
    <s v="586 Main St"/>
    <x v="1"/>
    <s v="Pending"/>
    <s v="TRK41266666"/>
    <n v="7"/>
    <s v="SAVE10"/>
    <s v="Instagram"/>
    <n v="463.08"/>
    <n v="463.08"/>
    <s v="Correct"/>
    <x v="7"/>
    <n v="2024"/>
    <s v="Q4"/>
    <s v="Laptop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s v="Facebook"/>
    <n v="1738.65"/>
    <n v="1738.6499999999999"/>
    <s v="Correct"/>
    <x v="6"/>
    <n v="2025"/>
    <s v="Q2"/>
    <s v="Phone"/>
  </r>
  <r>
    <s v="ORD200797"/>
    <d v="2023-02-27T00:00:00"/>
    <s v="C36825"/>
    <x v="5"/>
    <n v="2"/>
    <n v="438.76"/>
    <s v="426 Main St"/>
    <x v="0"/>
    <s v="Returned"/>
    <s v="TRK72557318"/>
    <n v="2"/>
    <s v="no coupoun"/>
    <s v="Facebook"/>
    <n v="877.52"/>
    <n v="877.52"/>
    <s v="Correct"/>
    <x v="2"/>
    <n v="2023"/>
    <s v="Q1"/>
    <s v="Laptop"/>
  </r>
  <r>
    <s v="ORD200798"/>
    <d v="2025-05-19T00:00:00"/>
    <s v="C20861"/>
    <x v="1"/>
    <n v="5"/>
    <n v="488.35"/>
    <s v="968 Main St"/>
    <x v="0"/>
    <s v="Returned"/>
    <s v="TRK89372013"/>
    <n v="9"/>
    <s v="FREESHIP"/>
    <s v="Email"/>
    <n v="2441.75"/>
    <n v="2441.75"/>
    <s v="Correct"/>
    <x v="4"/>
    <n v="2025"/>
    <s v="Q2"/>
    <s v="Phone"/>
  </r>
  <r>
    <s v="ORD200799"/>
    <d v="2023-04-16T00:00:00"/>
    <s v="C26364"/>
    <x v="5"/>
    <n v="4"/>
    <n v="328.56"/>
    <s v="803 Main St"/>
    <x v="0"/>
    <s v="Returned"/>
    <s v="TRK78924436"/>
    <n v="4"/>
    <s v="FREESHIP"/>
    <s v="Email"/>
    <n v="1314.24"/>
    <n v="1314.24"/>
    <s v="Correct"/>
    <x v="6"/>
    <n v="2023"/>
    <s v="Q2"/>
    <s v="Laptop"/>
  </r>
  <r>
    <s v="ORD200800"/>
    <d v="2025-03-28T00:00:00"/>
    <s v="C34686"/>
    <x v="2"/>
    <n v="1"/>
    <n v="68.39"/>
    <s v="412 Main St"/>
    <x v="1"/>
    <s v="Returned"/>
    <s v="TRK99468332"/>
    <n v="3"/>
    <s v="WINTER15"/>
    <s v="Facebook"/>
    <n v="68.39"/>
    <n v="68.39"/>
    <s v="Correct"/>
    <x v="9"/>
    <n v="2025"/>
    <s v="Q1"/>
    <s v="Tablet"/>
  </r>
  <r>
    <s v="ORD200801"/>
    <d v="2023-05-03T00:00:00"/>
    <s v="C97593"/>
    <x v="4"/>
    <n v="4"/>
    <n v="595.62"/>
    <s v="738 Main St"/>
    <x v="0"/>
    <s v="Pending"/>
    <s v="TRK58443593"/>
    <n v="8"/>
    <s v="FREESHIP"/>
    <s v="Facebook"/>
    <n v="2382.48"/>
    <n v="2382.48"/>
    <s v="Correct"/>
    <x v="4"/>
    <n v="2023"/>
    <s v="Q2"/>
    <s v="Printer"/>
  </r>
  <r>
    <s v="ORD200802"/>
    <d v="2024-02-17T00:00:00"/>
    <s v="C84331"/>
    <x v="3"/>
    <n v="5"/>
    <n v="644.64"/>
    <s v="205 Main St"/>
    <x v="3"/>
    <s v="Cancelled"/>
    <s v="TRK34440714"/>
    <n v="6"/>
    <s v="FREESHIP"/>
    <s v="Email"/>
    <n v="3223.2"/>
    <n v="3223.2"/>
    <s v="Correct"/>
    <x v="2"/>
    <n v="2024"/>
    <s v="Q1"/>
    <s v="Chair"/>
  </r>
  <r>
    <s v="ORD200803"/>
    <d v="2023-08-20T00:00:00"/>
    <s v="C88775"/>
    <x v="0"/>
    <n v="5"/>
    <n v="397.81"/>
    <s v="223 Main St"/>
    <x v="0"/>
    <s v="Returned"/>
    <s v="TRK45098068"/>
    <n v="5"/>
    <s v="SAVE10"/>
    <s v="Referral"/>
    <n v="1989.05"/>
    <n v="1989.05"/>
    <s v="Correct"/>
    <x v="1"/>
    <n v="2023"/>
    <s v="Q3"/>
    <s v="Monitor"/>
  </r>
  <r>
    <s v="ORD200804"/>
    <d v="2024-01-01T00:00:00"/>
    <s v="C76362"/>
    <x v="3"/>
    <n v="3"/>
    <n v="236.5"/>
    <s v="916 Main St"/>
    <x v="1"/>
    <s v="Delivered"/>
    <s v="TRK11868618"/>
    <n v="8"/>
    <s v="FREESHIP"/>
    <s v="Email"/>
    <n v="709.5"/>
    <n v="709.5"/>
    <s v="Correct"/>
    <x v="0"/>
    <n v="2024"/>
    <s v="Q1"/>
    <s v="Chair"/>
  </r>
  <r>
    <s v="ORD200805"/>
    <d v="2024-10-15T00:00:00"/>
    <s v="C59278"/>
    <x v="5"/>
    <n v="5"/>
    <n v="472.01"/>
    <s v="178 Main St"/>
    <x v="3"/>
    <s v="Cancelled"/>
    <s v="TRK14590037"/>
    <n v="10"/>
    <s v="SAVE10"/>
    <s v="Email"/>
    <n v="2360.0500000000002"/>
    <n v="2360.0500000000002"/>
    <s v="Correct"/>
    <x v="3"/>
    <n v="2024"/>
    <s v="Q4"/>
    <s v="Laptop"/>
  </r>
  <r>
    <s v="ORD200806"/>
    <d v="2023-09-01T00:00:00"/>
    <s v="C55819"/>
    <x v="3"/>
    <n v="5"/>
    <n v="253.75"/>
    <s v="740 Main St"/>
    <x v="1"/>
    <s v="Pending"/>
    <s v="TRK13775054"/>
    <n v="9"/>
    <s v="WINTER15"/>
    <s v="Instagram"/>
    <n v="1268.75"/>
    <n v="1268.75"/>
    <s v="Correct"/>
    <x v="11"/>
    <n v="2023"/>
    <s v="Q3"/>
    <s v="Chair"/>
  </r>
  <r>
    <s v="ORD200807"/>
    <d v="2024-11-10T00:00:00"/>
    <s v="C82344"/>
    <x v="0"/>
    <n v="3"/>
    <n v="676.21"/>
    <s v="260 Main St"/>
    <x v="1"/>
    <s v="Delivered"/>
    <s v="TRK70957219"/>
    <n v="5"/>
    <s v="SAVE10"/>
    <s v="Google"/>
    <n v="2028.63"/>
    <n v="2028.63"/>
    <s v="Correct"/>
    <x v="7"/>
    <n v="2024"/>
    <s v="Q4"/>
    <s v="Monitor"/>
  </r>
  <r>
    <s v="ORD200808"/>
    <d v="2024-02-13T00:00:00"/>
    <s v="C65565"/>
    <x v="6"/>
    <n v="3"/>
    <n v="134.05000000000001"/>
    <s v="192 Main St"/>
    <x v="2"/>
    <s v="Shipped"/>
    <s v="TRK80383756"/>
    <n v="3"/>
    <s v="no coupoun"/>
    <s v="Google"/>
    <n v="402.15"/>
    <n v="402.15000000000003"/>
    <s v="Correct"/>
    <x v="2"/>
    <n v="2024"/>
    <s v="Q1"/>
    <s v="Desk"/>
  </r>
  <r>
    <s v="ORD200809"/>
    <d v="2024-04-09T00:00:00"/>
    <s v="C80416"/>
    <x v="6"/>
    <n v="5"/>
    <n v="217.43"/>
    <s v="752 Main St"/>
    <x v="0"/>
    <s v="Shipped"/>
    <s v="TRK54385892"/>
    <n v="10"/>
    <s v="SAVE10"/>
    <s v="Instagram"/>
    <n v="1087.1500000000001"/>
    <n v="1087.1500000000001"/>
    <s v="Correct"/>
    <x v="6"/>
    <n v="2024"/>
    <s v="Q2"/>
    <s v="Desk"/>
  </r>
  <r>
    <s v="ORD200810"/>
    <d v="2023-05-31T00:00:00"/>
    <s v="C23637"/>
    <x v="2"/>
    <n v="1"/>
    <n v="553.55999999999995"/>
    <s v="644 Main St"/>
    <x v="2"/>
    <s v="Cancelled"/>
    <s v="TRK16749863"/>
    <n v="5"/>
    <s v="no coupoun"/>
    <s v="Referral"/>
    <n v="553.55999999999995"/>
    <n v="553.55999999999995"/>
    <s v="Correct"/>
    <x v="4"/>
    <n v="2023"/>
    <s v="Q2"/>
    <s v="Tablet"/>
  </r>
  <r>
    <s v="ORD200811"/>
    <d v="2023-11-05T00:00:00"/>
    <s v="C24769"/>
    <x v="5"/>
    <n v="2"/>
    <n v="28.55"/>
    <s v="864 Main St"/>
    <x v="3"/>
    <s v="Shipped"/>
    <s v="TRK44538305"/>
    <n v="7"/>
    <s v="SAVE10"/>
    <s v="Email"/>
    <n v="57.1"/>
    <n v="57.1"/>
    <s v="Correct"/>
    <x v="7"/>
    <n v="2023"/>
    <s v="Q4"/>
    <s v="Laptop"/>
  </r>
  <r>
    <s v="ORD200812"/>
    <d v="2024-01-26T00:00:00"/>
    <s v="C81547"/>
    <x v="1"/>
    <n v="2"/>
    <n v="255.26"/>
    <s v="803 Main St"/>
    <x v="2"/>
    <s v="Cancelled"/>
    <s v="TRK88437123"/>
    <n v="6"/>
    <s v="FREESHIP"/>
    <s v="Google"/>
    <n v="510.52"/>
    <n v="510.52"/>
    <s v="Correct"/>
    <x v="0"/>
    <n v="2024"/>
    <s v="Q1"/>
    <s v="Phone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s v="Email"/>
    <n v="1462.7"/>
    <n v="1462.7"/>
    <s v="Correct"/>
    <x v="9"/>
    <n v="2025"/>
    <s v="Q1"/>
    <s v="Laptop"/>
  </r>
  <r>
    <s v="ORD200814"/>
    <d v="2024-12-11T00:00:00"/>
    <s v="C50732"/>
    <x v="3"/>
    <n v="4"/>
    <n v="147.51"/>
    <s v="979 Main St"/>
    <x v="0"/>
    <s v="Pending"/>
    <s v="TRK21082461"/>
    <n v="4"/>
    <s v="WINTER15"/>
    <s v="Instagram"/>
    <n v="590.04"/>
    <n v="590.04"/>
    <s v="Correct"/>
    <x v="8"/>
    <n v="2024"/>
    <s v="Q4"/>
    <s v="Chair"/>
  </r>
  <r>
    <s v="ORD200815"/>
    <d v="2024-08-04T00:00:00"/>
    <s v="C41320"/>
    <x v="4"/>
    <n v="3"/>
    <n v="569.84"/>
    <s v="920 Main St"/>
    <x v="3"/>
    <s v="Cancelled"/>
    <s v="TRK77539180"/>
    <n v="8"/>
    <s v="WINTER15"/>
    <s v="Instagram"/>
    <n v="1709.52"/>
    <n v="1709.52"/>
    <s v="Correct"/>
    <x v="1"/>
    <n v="2024"/>
    <s v="Q3"/>
    <s v="Printer"/>
  </r>
  <r>
    <s v="ORD200816"/>
    <d v="2024-02-21T00:00:00"/>
    <s v="C55286"/>
    <x v="2"/>
    <n v="5"/>
    <n v="574.79"/>
    <s v="497 Main St"/>
    <x v="2"/>
    <s v="Pending"/>
    <s v="TRK39058734"/>
    <n v="8"/>
    <s v="WINTER15"/>
    <s v="Referral"/>
    <n v="2873.95"/>
    <n v="2873.95"/>
    <s v="Correct"/>
    <x v="2"/>
    <n v="2024"/>
    <s v="Q1"/>
    <s v="Tablet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s v="Email"/>
    <n v="2392.7600000000002"/>
    <n v="2392.7600000000002"/>
    <s v="Correct"/>
    <x v="3"/>
    <n v="2023"/>
    <s v="Q4"/>
    <s v="Chair"/>
  </r>
  <r>
    <s v="ORD200818"/>
    <d v="2023-03-02T00:00:00"/>
    <s v="C25580"/>
    <x v="1"/>
    <n v="4"/>
    <n v="390.84"/>
    <s v="860 Main St"/>
    <x v="2"/>
    <s v="Cancelled"/>
    <s v="TRK58781638"/>
    <n v="9"/>
    <s v="WINTER15"/>
    <s v="Referral"/>
    <n v="1563.36"/>
    <n v="1563.36"/>
    <s v="Correct"/>
    <x v="9"/>
    <n v="2023"/>
    <s v="Q1"/>
    <s v="Phone"/>
  </r>
  <r>
    <s v="ORD200819"/>
    <d v="2024-09-28T00:00:00"/>
    <s v="C66196"/>
    <x v="1"/>
    <n v="2"/>
    <n v="398.45"/>
    <s v="650 Main St"/>
    <x v="0"/>
    <s v="Cancelled"/>
    <s v="TRK38104650"/>
    <n v="7"/>
    <s v="SAVE10"/>
    <s v="Google"/>
    <n v="796.9"/>
    <n v="796.9"/>
    <s v="Correct"/>
    <x v="11"/>
    <n v="2024"/>
    <s v="Q3"/>
    <s v="Phone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s v="Email"/>
    <n v="3119.05"/>
    <n v="3119.0499999999997"/>
    <s v="Correct"/>
    <x v="4"/>
    <n v="2023"/>
    <s v="Q2"/>
    <s v="Phone"/>
  </r>
  <r>
    <s v="ORD200821"/>
    <d v="2024-12-14T00:00:00"/>
    <s v="C40771"/>
    <x v="5"/>
    <n v="4"/>
    <n v="174.49"/>
    <s v="259 Main St"/>
    <x v="2"/>
    <s v="Delivered"/>
    <s v="TRK56310345"/>
    <n v="5"/>
    <s v="SAVE10"/>
    <s v="Facebook"/>
    <n v="697.96"/>
    <n v="697.96"/>
    <s v="Correct"/>
    <x v="8"/>
    <n v="2024"/>
    <s v="Q4"/>
    <s v="Laptop"/>
  </r>
  <r>
    <s v="ORD200822"/>
    <d v="2025-03-15T00:00:00"/>
    <s v="C20624"/>
    <x v="1"/>
    <n v="1"/>
    <n v="479.56"/>
    <s v="923 Main St"/>
    <x v="3"/>
    <s v="Returned"/>
    <s v="TRK45123395"/>
    <n v="1"/>
    <s v="SAVE10"/>
    <s v="Google"/>
    <n v="479.56"/>
    <n v="479.56"/>
    <s v="Correct"/>
    <x v="9"/>
    <n v="2025"/>
    <s v="Q1"/>
    <s v="Phone"/>
  </r>
  <r>
    <s v="ORD200823"/>
    <d v="2024-10-07T00:00:00"/>
    <s v="C27070"/>
    <x v="5"/>
    <n v="4"/>
    <n v="653.13"/>
    <s v="973 Main St"/>
    <x v="2"/>
    <s v="Shipped"/>
    <s v="TRK83842481"/>
    <n v="8"/>
    <s v="WINTER15"/>
    <s v="Instagram"/>
    <n v="2612.52"/>
    <n v="2612.52"/>
    <s v="Correct"/>
    <x v="3"/>
    <n v="2024"/>
    <s v="Q4"/>
    <s v="Laptop"/>
  </r>
  <r>
    <s v="ORD200824"/>
    <d v="2023-08-29T00:00:00"/>
    <s v="C18826"/>
    <x v="0"/>
    <n v="3"/>
    <n v="481.1"/>
    <s v="664 Main St"/>
    <x v="2"/>
    <s v="Returned"/>
    <s v="TRK12530495"/>
    <n v="3"/>
    <s v="FREESHIP"/>
    <s v="Facebook"/>
    <n v="1443.3"/>
    <n v="1443.3000000000002"/>
    <s v="Correct"/>
    <x v="1"/>
    <n v="2023"/>
    <s v="Q3"/>
    <s v="Monitor"/>
  </r>
  <r>
    <s v="ORD200825"/>
    <d v="2025-03-26T00:00:00"/>
    <s v="C23899"/>
    <x v="6"/>
    <n v="5"/>
    <n v="271.69"/>
    <s v="543 Main St"/>
    <x v="1"/>
    <s v="Returned"/>
    <s v="TRK88914760"/>
    <n v="7"/>
    <s v="FREESHIP"/>
    <s v="Instagram"/>
    <n v="1358.45"/>
    <n v="1358.45"/>
    <s v="Correct"/>
    <x v="9"/>
    <n v="2025"/>
    <s v="Q1"/>
    <s v="Desk"/>
  </r>
  <r>
    <s v="ORD200826"/>
    <d v="2025-03-08T00:00:00"/>
    <s v="C43249"/>
    <x v="4"/>
    <n v="3"/>
    <n v="463.81"/>
    <s v="283 Main St"/>
    <x v="1"/>
    <s v="Returned"/>
    <s v="TRK32469820"/>
    <n v="8"/>
    <s v="WINTER15"/>
    <s v="Email"/>
    <n v="1391.43"/>
    <n v="1391.43"/>
    <s v="Correct"/>
    <x v="9"/>
    <n v="2025"/>
    <s v="Q1"/>
    <s v="Printer"/>
  </r>
  <r>
    <s v="ORD200827"/>
    <d v="2023-05-25T00:00:00"/>
    <s v="C95856"/>
    <x v="2"/>
    <n v="2"/>
    <n v="639.88"/>
    <s v="432 Main St"/>
    <x v="4"/>
    <s v="Delivered"/>
    <s v="TRK58829625"/>
    <n v="5"/>
    <s v="WINTER15"/>
    <s v="Instagram"/>
    <n v="1279.76"/>
    <n v="1279.76"/>
    <s v="Correct"/>
    <x v="4"/>
    <n v="2023"/>
    <s v="Q2"/>
    <s v="Tablet"/>
  </r>
  <r>
    <s v="ORD200828"/>
    <d v="2024-07-24T00:00:00"/>
    <s v="C86266"/>
    <x v="3"/>
    <n v="4"/>
    <n v="404.58"/>
    <s v="510 Main St"/>
    <x v="4"/>
    <s v="Shipped"/>
    <s v="TRK64576020"/>
    <n v="5"/>
    <s v="FREESHIP"/>
    <s v="Instagram"/>
    <n v="1618.32"/>
    <n v="1618.32"/>
    <s v="Correct"/>
    <x v="10"/>
    <n v="2024"/>
    <s v="Q3"/>
    <s v="Chair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s v="Instagram"/>
    <n v="76.930000000000007"/>
    <n v="76.930000000000007"/>
    <s v="Correct"/>
    <x v="2"/>
    <n v="2023"/>
    <s v="Q1"/>
    <s v="Monitor"/>
  </r>
  <r>
    <s v="ORD200830"/>
    <d v="2024-12-11T00:00:00"/>
    <s v="C90310"/>
    <x v="2"/>
    <n v="4"/>
    <n v="190.64"/>
    <s v="853 Main St"/>
    <x v="4"/>
    <s v="Delivered"/>
    <s v="TRK70028457"/>
    <n v="5"/>
    <s v="SAVE10"/>
    <s v="Email"/>
    <n v="762.56"/>
    <n v="762.56"/>
    <s v="Correct"/>
    <x v="8"/>
    <n v="2024"/>
    <s v="Q4"/>
    <s v="Tablet"/>
  </r>
  <r>
    <s v="ORD200831"/>
    <d v="2023-12-18T00:00:00"/>
    <s v="C20124"/>
    <x v="4"/>
    <n v="2"/>
    <n v="88.73"/>
    <s v="140 Main St"/>
    <x v="1"/>
    <s v="Pending"/>
    <s v="TRK61346824"/>
    <n v="5"/>
    <s v="no coupoun"/>
    <s v="Google"/>
    <n v="177.46"/>
    <n v="177.46"/>
    <s v="Correct"/>
    <x v="8"/>
    <n v="2023"/>
    <s v="Q4"/>
    <s v="Printer"/>
  </r>
  <r>
    <s v="ORD200832"/>
    <d v="2024-03-12T00:00:00"/>
    <s v="C63372"/>
    <x v="3"/>
    <n v="5"/>
    <n v="485.71"/>
    <s v="903 Main St"/>
    <x v="1"/>
    <s v="Pending"/>
    <s v="TRK14661811"/>
    <n v="10"/>
    <s v="SAVE10"/>
    <s v="Referral"/>
    <n v="2428.5500000000002"/>
    <n v="2428.5499999999997"/>
    <s v="Correct"/>
    <x v="9"/>
    <n v="2024"/>
    <s v="Q1"/>
    <s v="Chair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s v="Referral"/>
    <n v="391.45"/>
    <n v="391.45000000000005"/>
    <s v="Correct"/>
    <x v="9"/>
    <n v="2025"/>
    <s v="Q1"/>
    <s v="Phone"/>
  </r>
  <r>
    <s v="ORD200834"/>
    <d v="2024-04-11T00:00:00"/>
    <s v="C98483"/>
    <x v="4"/>
    <n v="5"/>
    <n v="22.14"/>
    <s v="456 Main St"/>
    <x v="4"/>
    <s v="Returned"/>
    <s v="TRK22084320"/>
    <n v="10"/>
    <s v="no coupoun"/>
    <s v="Instagram"/>
    <n v="110.7"/>
    <n v="110.7"/>
    <s v="Correct"/>
    <x v="6"/>
    <n v="2024"/>
    <s v="Q2"/>
    <s v="Printer"/>
  </r>
  <r>
    <s v="ORD200835"/>
    <d v="2024-03-26T00:00:00"/>
    <s v="C16429"/>
    <x v="6"/>
    <n v="1"/>
    <n v="679.65"/>
    <s v="390 Main St"/>
    <x v="0"/>
    <s v="Shipped"/>
    <s v="TRK73888013"/>
    <n v="6"/>
    <s v="FREESHIP"/>
    <s v="Google"/>
    <n v="679.65"/>
    <n v="679.65"/>
    <s v="Correct"/>
    <x v="9"/>
    <n v="2024"/>
    <s v="Q1"/>
    <s v="Desk"/>
  </r>
  <r>
    <s v="ORD200836"/>
    <d v="2023-02-02T00:00:00"/>
    <s v="C31810"/>
    <x v="1"/>
    <n v="1"/>
    <n v="178.44"/>
    <s v="328 Main St"/>
    <x v="2"/>
    <s v="Cancelled"/>
    <s v="TRK58725886"/>
    <n v="2"/>
    <s v="FREESHIP"/>
    <s v="Google"/>
    <n v="178.44"/>
    <n v="178.44"/>
    <s v="Correct"/>
    <x v="2"/>
    <n v="2023"/>
    <s v="Q1"/>
    <s v="Phone"/>
  </r>
  <r>
    <s v="ORD200837"/>
    <d v="2025-06-14T00:00:00"/>
    <s v="C88029"/>
    <x v="3"/>
    <n v="5"/>
    <n v="655.55"/>
    <s v="282 Main St"/>
    <x v="1"/>
    <s v="Delivered"/>
    <s v="TRK59701278"/>
    <n v="5"/>
    <s v="no coupoun"/>
    <s v="Email"/>
    <n v="3277.75"/>
    <n v="3277.75"/>
    <s v="Correct"/>
    <x v="5"/>
    <n v="2025"/>
    <s v="Q2"/>
    <s v="Chair"/>
  </r>
  <r>
    <s v="ORD200838"/>
    <d v="2024-04-11T00:00:00"/>
    <s v="C57798"/>
    <x v="6"/>
    <n v="4"/>
    <n v="577.08000000000004"/>
    <s v="384 Main St"/>
    <x v="1"/>
    <s v="Pending"/>
    <s v="TRK68797566"/>
    <n v="8"/>
    <s v="no coupoun"/>
    <s v="Facebook"/>
    <n v="2308.3200000000002"/>
    <n v="2308.3200000000002"/>
    <s v="Correct"/>
    <x v="6"/>
    <n v="2024"/>
    <s v="Q2"/>
    <s v="Desk"/>
  </r>
  <r>
    <s v="ORD200839"/>
    <d v="2023-08-24T00:00:00"/>
    <s v="C82858"/>
    <x v="3"/>
    <n v="3"/>
    <n v="197.97"/>
    <s v="551 Main St"/>
    <x v="1"/>
    <s v="Cancelled"/>
    <s v="TRK90618490"/>
    <n v="5"/>
    <s v="no coupoun"/>
    <s v="Google"/>
    <n v="593.91"/>
    <n v="593.91"/>
    <s v="Correct"/>
    <x v="1"/>
    <n v="2023"/>
    <s v="Q3"/>
    <s v="Chair"/>
  </r>
  <r>
    <s v="ORD200840"/>
    <d v="2024-01-14T00:00:00"/>
    <s v="C60699"/>
    <x v="3"/>
    <n v="3"/>
    <n v="411.95"/>
    <s v="672 Main St"/>
    <x v="2"/>
    <s v="Delivered"/>
    <s v="TRK88660574"/>
    <n v="7"/>
    <s v="FREESHIP"/>
    <s v="Referral"/>
    <n v="1235.8499999999999"/>
    <n v="1235.8499999999999"/>
    <s v="Correct"/>
    <x v="0"/>
    <n v="2024"/>
    <s v="Q1"/>
    <s v="Chair"/>
  </r>
  <r>
    <s v="ORD200841"/>
    <d v="2024-09-19T00:00:00"/>
    <s v="C94658"/>
    <x v="4"/>
    <n v="2"/>
    <n v="443.22"/>
    <s v="742 Main St"/>
    <x v="2"/>
    <s v="Delivered"/>
    <s v="TRK51732528"/>
    <n v="5"/>
    <s v="no coupoun"/>
    <s v="Facebook"/>
    <n v="886.44"/>
    <n v="886.44"/>
    <s v="Correct"/>
    <x v="11"/>
    <n v="2024"/>
    <s v="Q3"/>
    <s v="Printer"/>
  </r>
  <r>
    <s v="ORD200842"/>
    <d v="2025-05-07T00:00:00"/>
    <s v="C78305"/>
    <x v="5"/>
    <n v="3"/>
    <n v="364.14"/>
    <s v="396 Main St"/>
    <x v="1"/>
    <s v="Pending"/>
    <s v="TRK88312618"/>
    <n v="7"/>
    <s v="WINTER15"/>
    <s v="Referral"/>
    <n v="1092.42"/>
    <n v="1092.42"/>
    <s v="Correct"/>
    <x v="4"/>
    <n v="2025"/>
    <s v="Q2"/>
    <s v="Laptop"/>
  </r>
  <r>
    <s v="ORD200843"/>
    <d v="2025-05-13T00:00:00"/>
    <s v="C43538"/>
    <x v="6"/>
    <n v="3"/>
    <n v="430.06"/>
    <s v="534 Main St"/>
    <x v="3"/>
    <s v="Cancelled"/>
    <s v="TRK20961563"/>
    <n v="8"/>
    <s v="FREESHIP"/>
    <s v="Instagram"/>
    <n v="1290.18"/>
    <n v="1290.18"/>
    <s v="Correct"/>
    <x v="4"/>
    <n v="2025"/>
    <s v="Q2"/>
    <s v="Desk"/>
  </r>
  <r>
    <s v="ORD200844"/>
    <d v="2024-12-04T00:00:00"/>
    <s v="C47486"/>
    <x v="3"/>
    <n v="1"/>
    <n v="320.92"/>
    <s v="883 Main St"/>
    <x v="1"/>
    <s v="Returned"/>
    <s v="TRK75984759"/>
    <n v="5"/>
    <s v="FREESHIP"/>
    <s v="Facebook"/>
    <n v="320.92"/>
    <n v="320.92"/>
    <s v="Correct"/>
    <x v="8"/>
    <n v="2024"/>
    <s v="Q4"/>
    <s v="Chair"/>
  </r>
  <r>
    <s v="ORD200845"/>
    <d v="2023-10-08T00:00:00"/>
    <s v="C24212"/>
    <x v="1"/>
    <n v="3"/>
    <n v="107.36"/>
    <s v="808 Main St"/>
    <x v="3"/>
    <s v="Delivered"/>
    <s v="TRK68894675"/>
    <n v="5"/>
    <s v="FREESHIP"/>
    <s v="Google"/>
    <n v="322.08"/>
    <n v="322.08"/>
    <s v="Correct"/>
    <x v="3"/>
    <n v="2023"/>
    <s v="Q4"/>
    <s v="Phone"/>
  </r>
  <r>
    <s v="ORD200846"/>
    <d v="2024-07-04T00:00:00"/>
    <s v="C24765"/>
    <x v="6"/>
    <n v="2"/>
    <n v="359.86"/>
    <s v="646 Main St"/>
    <x v="0"/>
    <s v="Cancelled"/>
    <s v="TRK43977698"/>
    <n v="4"/>
    <s v="no coupoun"/>
    <s v="Referral"/>
    <n v="719.72"/>
    <n v="719.72"/>
    <s v="Correct"/>
    <x v="10"/>
    <n v="2024"/>
    <s v="Q3"/>
    <s v="Desk"/>
  </r>
  <r>
    <s v="ORD200847"/>
    <d v="2024-11-18T00:00:00"/>
    <s v="C48176"/>
    <x v="4"/>
    <n v="4"/>
    <n v="434.23"/>
    <s v="670 Main St"/>
    <x v="1"/>
    <s v="Shipped"/>
    <s v="TRK90560300"/>
    <n v="8"/>
    <s v="FREESHIP"/>
    <s v="Email"/>
    <n v="1736.92"/>
    <n v="1736.92"/>
    <s v="Correct"/>
    <x v="7"/>
    <n v="2024"/>
    <s v="Q4"/>
    <s v="Printer"/>
  </r>
  <r>
    <s v="ORD200848"/>
    <d v="2023-01-01T00:00:00"/>
    <s v="C54675"/>
    <x v="3"/>
    <n v="2"/>
    <n v="645.85"/>
    <s v="634 Main St"/>
    <x v="1"/>
    <s v="Shipped"/>
    <s v="TRK18049633"/>
    <n v="5"/>
    <s v="no coupoun"/>
    <s v="Referral"/>
    <n v="1291.7"/>
    <n v="1291.7"/>
    <s v="Correct"/>
    <x v="0"/>
    <n v="2023"/>
    <s v="Q1"/>
    <s v="Chair"/>
  </r>
  <r>
    <s v="ORD200849"/>
    <d v="2025-06-09T00:00:00"/>
    <s v="C16675"/>
    <x v="4"/>
    <n v="4"/>
    <n v="214.35"/>
    <s v="664 Main St"/>
    <x v="0"/>
    <s v="Cancelled"/>
    <s v="TRK12756945"/>
    <n v="7"/>
    <s v="WINTER15"/>
    <s v="Referral"/>
    <n v="857.4"/>
    <n v="857.4"/>
    <s v="Correct"/>
    <x v="5"/>
    <n v="2025"/>
    <s v="Q2"/>
    <s v="Printer"/>
  </r>
  <r>
    <s v="ORD200850"/>
    <d v="2025-04-27T00:00:00"/>
    <s v="C38557"/>
    <x v="0"/>
    <n v="3"/>
    <n v="638.5"/>
    <s v="890 Main St"/>
    <x v="0"/>
    <s v="Cancelled"/>
    <s v="TRK14832238"/>
    <n v="4"/>
    <s v="FREESHIP"/>
    <s v="Instagram"/>
    <n v="1915.5"/>
    <n v="1915.5"/>
    <s v="Correct"/>
    <x v="6"/>
    <n v="2025"/>
    <s v="Q2"/>
    <s v="Monitor"/>
  </r>
  <r>
    <s v="ORD200851"/>
    <d v="2023-12-12T00:00:00"/>
    <s v="C80183"/>
    <x v="5"/>
    <n v="1"/>
    <n v="365.57"/>
    <s v="146 Main St"/>
    <x v="1"/>
    <s v="Cancelled"/>
    <s v="TRK20814598"/>
    <n v="5"/>
    <s v="SAVE10"/>
    <s v="Email"/>
    <n v="365.57"/>
    <n v="365.57"/>
    <s v="Correct"/>
    <x v="8"/>
    <n v="2023"/>
    <s v="Q4"/>
    <s v="Laptop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s v="Google"/>
    <n v="1704.15"/>
    <n v="1704.1499999999999"/>
    <s v="Correct"/>
    <x v="3"/>
    <n v="2024"/>
    <s v="Q4"/>
    <s v="Desk"/>
  </r>
  <r>
    <s v="ORD200853"/>
    <d v="2023-10-16T00:00:00"/>
    <s v="C10002"/>
    <x v="4"/>
    <n v="3"/>
    <n v="490.01"/>
    <s v="894 Main St"/>
    <x v="4"/>
    <s v="Returned"/>
    <s v="TRK94641152"/>
    <n v="4"/>
    <s v="SAVE10"/>
    <s v="Facebook"/>
    <n v="1470.03"/>
    <n v="1470.03"/>
    <s v="Correct"/>
    <x v="3"/>
    <n v="2023"/>
    <s v="Q4"/>
    <s v="Printer"/>
  </r>
  <r>
    <s v="ORD200854"/>
    <d v="2025-06-13T00:00:00"/>
    <s v="C56938"/>
    <x v="5"/>
    <n v="3"/>
    <n v="372.6"/>
    <s v="356 Main St"/>
    <x v="2"/>
    <s v="Delivered"/>
    <s v="TRK67735987"/>
    <n v="7"/>
    <s v="WINTER15"/>
    <s v="Referral"/>
    <n v="1117.8"/>
    <n v="1117.8000000000002"/>
    <s v="Correct"/>
    <x v="5"/>
    <n v="2025"/>
    <s v="Q2"/>
    <s v="Laptop"/>
  </r>
  <r>
    <s v="ORD200855"/>
    <d v="2023-05-25T00:00:00"/>
    <s v="C41331"/>
    <x v="0"/>
    <n v="5"/>
    <n v="240.61"/>
    <s v="785 Main St"/>
    <x v="2"/>
    <s v="Shipped"/>
    <s v="TRK94198179"/>
    <n v="10"/>
    <s v="FREESHIP"/>
    <s v="Email"/>
    <n v="1203.05"/>
    <n v="1203.0500000000002"/>
    <s v="Correct"/>
    <x v="4"/>
    <n v="2023"/>
    <s v="Q2"/>
    <s v="Monitor"/>
  </r>
  <r>
    <s v="ORD200856"/>
    <d v="2024-06-03T00:00:00"/>
    <s v="C94698"/>
    <x v="1"/>
    <n v="1"/>
    <n v="586.62"/>
    <s v="871 Main St"/>
    <x v="0"/>
    <s v="Shipped"/>
    <s v="TRK95768773"/>
    <n v="5"/>
    <s v="no coupoun"/>
    <s v="Facebook"/>
    <n v="586.62"/>
    <n v="586.62"/>
    <s v="Correct"/>
    <x v="5"/>
    <n v="2024"/>
    <s v="Q2"/>
    <s v="Phone"/>
  </r>
  <r>
    <s v="ORD200857"/>
    <d v="2024-03-10T00:00:00"/>
    <s v="C56506"/>
    <x v="1"/>
    <n v="3"/>
    <n v="257.83999999999997"/>
    <s v="185 Main St"/>
    <x v="1"/>
    <s v="Delivered"/>
    <s v="TRK86808324"/>
    <n v="4"/>
    <s v="no coupoun"/>
    <s v="Instagram"/>
    <n v="773.52"/>
    <n v="773.52"/>
    <s v="Correct"/>
    <x v="9"/>
    <n v="2024"/>
    <s v="Q1"/>
    <s v="Phone"/>
  </r>
  <r>
    <s v="ORD200858"/>
    <d v="2023-08-20T00:00:00"/>
    <s v="C22167"/>
    <x v="2"/>
    <n v="5"/>
    <n v="435.66"/>
    <s v="891 Main St"/>
    <x v="1"/>
    <s v="Pending"/>
    <s v="TRK70269748"/>
    <n v="9"/>
    <s v="no coupoun"/>
    <s v="Facebook"/>
    <n v="2178.3000000000002"/>
    <n v="2178.3000000000002"/>
    <s v="Correct"/>
    <x v="1"/>
    <n v="2023"/>
    <s v="Q3"/>
    <s v="Tablet"/>
  </r>
  <r>
    <s v="ORD200859"/>
    <d v="2024-08-28T00:00:00"/>
    <s v="C11127"/>
    <x v="3"/>
    <n v="5"/>
    <n v="261.33"/>
    <s v="154 Main St"/>
    <x v="2"/>
    <s v="Returned"/>
    <s v="TRK73285507"/>
    <n v="5"/>
    <s v="SAVE10"/>
    <s v="Referral"/>
    <n v="1306.6500000000001"/>
    <n v="1306.6499999999999"/>
    <s v="Correct"/>
    <x v="1"/>
    <n v="2024"/>
    <s v="Q3"/>
    <s v="Chair"/>
  </r>
  <r>
    <s v="ORD200860"/>
    <d v="2024-01-23T00:00:00"/>
    <s v="C69542"/>
    <x v="4"/>
    <n v="1"/>
    <n v="422.54"/>
    <s v="876 Main St"/>
    <x v="4"/>
    <s v="Delivered"/>
    <s v="TRK20746505"/>
    <n v="1"/>
    <s v="SAVE10"/>
    <s v="Google"/>
    <n v="422.54"/>
    <n v="422.54"/>
    <s v="Correct"/>
    <x v="0"/>
    <n v="2024"/>
    <s v="Q1"/>
    <s v="Printer"/>
  </r>
  <r>
    <s v="ORD200861"/>
    <d v="2023-03-19T00:00:00"/>
    <s v="C93276"/>
    <x v="6"/>
    <n v="5"/>
    <n v="330.45"/>
    <s v="230 Main St"/>
    <x v="3"/>
    <s v="Shipped"/>
    <s v="TRK44165913"/>
    <n v="10"/>
    <s v="FREESHIP"/>
    <s v="Google"/>
    <n v="1652.25"/>
    <n v="1652.25"/>
    <s v="Correct"/>
    <x v="9"/>
    <n v="2023"/>
    <s v="Q1"/>
    <s v="Desk"/>
  </r>
  <r>
    <s v="ORD200862"/>
    <d v="2023-12-02T00:00:00"/>
    <s v="C37969"/>
    <x v="6"/>
    <n v="3"/>
    <n v="120.82"/>
    <s v="799 Main St"/>
    <x v="2"/>
    <s v="Shipped"/>
    <s v="TRK69852386"/>
    <n v="5"/>
    <s v="SAVE10"/>
    <s v="Referral"/>
    <n v="362.46"/>
    <n v="362.46"/>
    <s v="Correct"/>
    <x v="8"/>
    <n v="2023"/>
    <s v="Q4"/>
    <s v="Desk"/>
  </r>
  <r>
    <s v="ORD200863"/>
    <d v="2024-05-20T00:00:00"/>
    <s v="C98276"/>
    <x v="1"/>
    <n v="1"/>
    <n v="14.06"/>
    <s v="471 Main St"/>
    <x v="2"/>
    <s v="Pending"/>
    <s v="TRK74207282"/>
    <n v="5"/>
    <s v="SAVE10"/>
    <s v="Referral"/>
    <n v="14.06"/>
    <n v="14.06"/>
    <s v="Correct"/>
    <x v="4"/>
    <n v="2024"/>
    <s v="Q2"/>
    <s v="Phone"/>
  </r>
  <r>
    <s v="ORD200864"/>
    <d v="2023-05-03T00:00:00"/>
    <s v="C14240"/>
    <x v="6"/>
    <n v="1"/>
    <n v="491.11"/>
    <s v="592 Main St"/>
    <x v="2"/>
    <s v="Delivered"/>
    <s v="TRK58095246"/>
    <n v="4"/>
    <s v="SAVE10"/>
    <s v="Facebook"/>
    <n v="491.11"/>
    <n v="491.11"/>
    <s v="Correct"/>
    <x v="4"/>
    <n v="2023"/>
    <s v="Q2"/>
    <s v="Desk"/>
  </r>
  <r>
    <s v="ORD200865"/>
    <d v="2023-04-30T00:00:00"/>
    <s v="C72241"/>
    <x v="0"/>
    <n v="4"/>
    <n v="677.37"/>
    <s v="156 Main St"/>
    <x v="4"/>
    <s v="Pending"/>
    <s v="TRK76270481"/>
    <n v="8"/>
    <s v="SAVE10"/>
    <s v="Google"/>
    <n v="2709.48"/>
    <n v="2709.48"/>
    <s v="Correct"/>
    <x v="6"/>
    <n v="2023"/>
    <s v="Q2"/>
    <s v="Monitor"/>
  </r>
  <r>
    <s v="ORD200866"/>
    <d v="2024-07-26T00:00:00"/>
    <s v="C39664"/>
    <x v="6"/>
    <n v="5"/>
    <n v="189.25"/>
    <s v="693 Main St"/>
    <x v="0"/>
    <s v="Cancelled"/>
    <s v="TRK39917741"/>
    <n v="10"/>
    <s v="WINTER15"/>
    <s v="Email"/>
    <n v="946.25"/>
    <n v="946.25"/>
    <s v="Correct"/>
    <x v="10"/>
    <n v="2024"/>
    <s v="Q3"/>
    <s v="Desk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s v="Facebook"/>
    <n v="570.32000000000005"/>
    <n v="570.32000000000005"/>
    <s v="Correct"/>
    <x v="4"/>
    <n v="2024"/>
    <s v="Q2"/>
    <s v="Printer"/>
  </r>
  <r>
    <s v="ORD200868"/>
    <d v="2024-06-29T00:00:00"/>
    <s v="C70452"/>
    <x v="0"/>
    <n v="4"/>
    <n v="316.32"/>
    <s v="309 Main St"/>
    <x v="0"/>
    <s v="Delivered"/>
    <s v="TRK42985882"/>
    <n v="7"/>
    <s v="no coupoun"/>
    <s v="Facebook"/>
    <n v="1265.28"/>
    <n v="1265.28"/>
    <s v="Correct"/>
    <x v="5"/>
    <n v="2024"/>
    <s v="Q2"/>
    <s v="Monitor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s v="Google"/>
    <n v="1067.9000000000001"/>
    <n v="1067.9000000000001"/>
    <s v="Correct"/>
    <x v="9"/>
    <n v="2024"/>
    <s v="Q1"/>
    <s v="Desk"/>
  </r>
  <r>
    <s v="ORD200870"/>
    <d v="2025-06-01T00:00:00"/>
    <s v="C78725"/>
    <x v="1"/>
    <n v="4"/>
    <n v="470.09"/>
    <s v="541 Main St"/>
    <x v="0"/>
    <s v="Delivered"/>
    <s v="TRK72001139"/>
    <n v="4"/>
    <s v="FREESHIP"/>
    <s v="Google"/>
    <n v="1880.36"/>
    <n v="1880.36"/>
    <s v="Correct"/>
    <x v="5"/>
    <n v="2025"/>
    <s v="Q2"/>
    <s v="Phone"/>
  </r>
  <r>
    <s v="ORD200871"/>
    <d v="2024-05-16T00:00:00"/>
    <s v="C93768"/>
    <x v="2"/>
    <n v="3"/>
    <n v="324.3"/>
    <s v="720 Main St"/>
    <x v="0"/>
    <s v="Pending"/>
    <s v="TRK22024707"/>
    <n v="8"/>
    <s v="FREESHIP"/>
    <s v="Email"/>
    <n v="972.90000000000009"/>
    <n v="972.90000000000009"/>
    <s v="Correct"/>
    <x v="4"/>
    <n v="2024"/>
    <s v="Q2"/>
    <s v="Tablet"/>
  </r>
  <r>
    <s v="ORD200872"/>
    <d v="2023-07-10T00:00:00"/>
    <s v="C59169"/>
    <x v="3"/>
    <n v="4"/>
    <n v="629.34"/>
    <s v="172 Main St"/>
    <x v="4"/>
    <s v="Shipped"/>
    <s v="TRK90883858"/>
    <n v="7"/>
    <s v="no coupoun"/>
    <s v="Email"/>
    <n v="2517.36"/>
    <n v="2517.36"/>
    <s v="Correct"/>
    <x v="10"/>
    <n v="2023"/>
    <s v="Q3"/>
    <s v="Chair"/>
  </r>
  <r>
    <s v="ORD200873"/>
    <d v="2024-05-12T00:00:00"/>
    <s v="C53488"/>
    <x v="6"/>
    <n v="3"/>
    <n v="136.84"/>
    <s v="448 Main St"/>
    <x v="4"/>
    <s v="Delivered"/>
    <s v="TRK27365050"/>
    <n v="3"/>
    <s v="SAVE10"/>
    <s v="Facebook"/>
    <n v="410.52"/>
    <n v="410.52"/>
    <s v="Correct"/>
    <x v="4"/>
    <n v="2024"/>
    <s v="Q2"/>
    <s v="Desk"/>
  </r>
  <r>
    <s v="ORD200874"/>
    <d v="2023-10-31T00:00:00"/>
    <s v="C92180"/>
    <x v="3"/>
    <n v="2"/>
    <n v="488.9"/>
    <s v="632 Main St"/>
    <x v="4"/>
    <s v="Delivered"/>
    <s v="TRK93315929"/>
    <n v="7"/>
    <s v="FREESHIP"/>
    <s v="Facebook"/>
    <n v="977.8"/>
    <n v="977.8"/>
    <s v="Correct"/>
    <x v="3"/>
    <n v="2023"/>
    <s v="Q4"/>
    <s v="Chair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s v="Referral"/>
    <n v="666.94999999999993"/>
    <n v="666.94999999999993"/>
    <s v="Correct"/>
    <x v="1"/>
    <n v="2023"/>
    <s v="Q3"/>
    <s v="Laptop"/>
  </r>
  <r>
    <s v="ORD200876"/>
    <d v="2024-06-09T00:00:00"/>
    <s v="C90363"/>
    <x v="3"/>
    <n v="5"/>
    <n v="608.91"/>
    <s v="200 Main St"/>
    <x v="3"/>
    <s v="Pending"/>
    <s v="TRK21534173"/>
    <n v="6"/>
    <s v="SAVE10"/>
    <s v="Google"/>
    <n v="3044.55"/>
    <n v="3044.5499999999997"/>
    <s v="Correct"/>
    <x v="5"/>
    <n v="2024"/>
    <s v="Q2"/>
    <s v="Chair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s v="Email"/>
    <n v="524.05999999999995"/>
    <n v="524.05999999999995"/>
    <s v="Correct"/>
    <x v="10"/>
    <n v="2024"/>
    <s v="Q3"/>
    <s v="Tablet"/>
  </r>
  <r>
    <s v="ORD200878"/>
    <d v="2023-06-01T00:00:00"/>
    <s v="C73873"/>
    <x v="6"/>
    <n v="2"/>
    <n v="330.69"/>
    <s v="393 Main St"/>
    <x v="1"/>
    <s v="Cancelled"/>
    <s v="TRK56423132"/>
    <n v="5"/>
    <s v="SAVE10"/>
    <s v="Google"/>
    <n v="661.38"/>
    <n v="661.38"/>
    <s v="Correct"/>
    <x v="5"/>
    <n v="2023"/>
    <s v="Q2"/>
    <s v="Desk"/>
  </r>
  <r>
    <s v="ORD200879"/>
    <d v="2025-04-08T00:00:00"/>
    <s v="C56622"/>
    <x v="1"/>
    <n v="2"/>
    <n v="547.66999999999996"/>
    <s v="932 Main St"/>
    <x v="3"/>
    <s v="Shipped"/>
    <s v="TRK86373987"/>
    <n v="3"/>
    <s v="no coupoun"/>
    <s v="Instagram"/>
    <n v="1095.3399999999999"/>
    <n v="1095.3399999999999"/>
    <s v="Correct"/>
    <x v="6"/>
    <n v="2025"/>
    <s v="Q2"/>
    <s v="Phone"/>
  </r>
  <r>
    <s v="ORD200880"/>
    <d v="2025-03-12T00:00:00"/>
    <s v="C85074"/>
    <x v="5"/>
    <n v="4"/>
    <n v="233.7"/>
    <s v="506 Main St"/>
    <x v="1"/>
    <s v="Shipped"/>
    <s v="TRK63133878"/>
    <n v="8"/>
    <s v="SAVE10"/>
    <s v="Facebook"/>
    <n v="934.8"/>
    <n v="934.8"/>
    <s v="Correct"/>
    <x v="9"/>
    <n v="2025"/>
    <s v="Q1"/>
    <s v="Laptop"/>
  </r>
  <r>
    <s v="ORD200881"/>
    <d v="2023-01-03T00:00:00"/>
    <s v="C59579"/>
    <x v="2"/>
    <n v="2"/>
    <n v="448.85"/>
    <s v="386 Main St"/>
    <x v="2"/>
    <s v="Pending"/>
    <s v="TRK48000034"/>
    <n v="6"/>
    <s v="no coupoun"/>
    <s v="Instagram"/>
    <n v="897.7"/>
    <n v="897.7"/>
    <s v="Correct"/>
    <x v="0"/>
    <n v="2023"/>
    <s v="Q1"/>
    <s v="Tablet"/>
  </r>
  <r>
    <s v="ORD200882"/>
    <d v="2025-06-28T00:00:00"/>
    <s v="C43335"/>
    <x v="1"/>
    <n v="2"/>
    <n v="274.12"/>
    <s v="533 Main St"/>
    <x v="4"/>
    <s v="Delivered"/>
    <s v="TRK91848650"/>
    <n v="6"/>
    <s v="FREESHIP"/>
    <s v="Referral"/>
    <n v="548.24"/>
    <n v="548.24"/>
    <s v="Correct"/>
    <x v="5"/>
    <n v="2025"/>
    <s v="Q2"/>
    <s v="Phone"/>
  </r>
  <r>
    <s v="ORD200883"/>
    <d v="2025-05-13T00:00:00"/>
    <s v="C43595"/>
    <x v="4"/>
    <n v="5"/>
    <n v="561.48"/>
    <s v="451 Main St"/>
    <x v="1"/>
    <s v="Delivered"/>
    <s v="TRK25317348"/>
    <n v="9"/>
    <s v="FREESHIP"/>
    <s v="Facebook"/>
    <n v="2807.4"/>
    <n v="2807.4"/>
    <s v="Correct"/>
    <x v="4"/>
    <n v="2025"/>
    <s v="Q2"/>
    <s v="Printer"/>
  </r>
  <r>
    <s v="ORD200884"/>
    <d v="2024-05-15T00:00:00"/>
    <s v="C71471"/>
    <x v="3"/>
    <n v="1"/>
    <n v="595.54"/>
    <s v="817 Main St"/>
    <x v="3"/>
    <s v="Shipped"/>
    <s v="TRK52137079"/>
    <n v="4"/>
    <s v="no coupoun"/>
    <s v="Instagram"/>
    <n v="595.54"/>
    <n v="595.54"/>
    <s v="Correct"/>
    <x v="4"/>
    <n v="2024"/>
    <s v="Q2"/>
    <s v="Chair"/>
  </r>
  <r>
    <s v="ORD200885"/>
    <d v="2024-04-07T00:00:00"/>
    <s v="C61090"/>
    <x v="5"/>
    <n v="4"/>
    <n v="515.59"/>
    <s v="387 Main St"/>
    <x v="2"/>
    <s v="Shipped"/>
    <s v="TRK36388962"/>
    <n v="7"/>
    <s v="FREESHIP"/>
    <s v="Google"/>
    <n v="2062.36"/>
    <n v="2062.36"/>
    <s v="Correct"/>
    <x v="6"/>
    <n v="2024"/>
    <s v="Q2"/>
    <s v="Laptop"/>
  </r>
  <r>
    <s v="ORD200886"/>
    <d v="2023-10-25T00:00:00"/>
    <s v="C29620"/>
    <x v="1"/>
    <n v="1"/>
    <n v="460.13"/>
    <s v="792 Main St"/>
    <x v="2"/>
    <s v="Returned"/>
    <s v="TRK22046456"/>
    <n v="1"/>
    <s v="no coupoun"/>
    <s v="Google"/>
    <n v="460.13"/>
    <n v="460.13"/>
    <s v="Correct"/>
    <x v="3"/>
    <n v="2023"/>
    <s v="Q4"/>
    <s v="Phone"/>
  </r>
  <r>
    <s v="ORD200887"/>
    <d v="2024-12-19T00:00:00"/>
    <s v="C67932"/>
    <x v="3"/>
    <n v="3"/>
    <n v="171.66"/>
    <s v="857 Main St"/>
    <x v="0"/>
    <s v="Delivered"/>
    <s v="TRK88547534"/>
    <n v="7"/>
    <s v="no coupoun"/>
    <s v="Google"/>
    <n v="514.98"/>
    <n v="514.98"/>
    <s v="Correct"/>
    <x v="8"/>
    <n v="2024"/>
    <s v="Q4"/>
    <s v="Chair"/>
  </r>
  <r>
    <s v="ORD200888"/>
    <d v="2024-07-23T00:00:00"/>
    <s v="C14427"/>
    <x v="5"/>
    <n v="2"/>
    <n v="266.95"/>
    <s v="833 Main St"/>
    <x v="2"/>
    <s v="Pending"/>
    <s v="TRK58024529"/>
    <n v="3"/>
    <s v="no coupoun"/>
    <s v="Instagram"/>
    <n v="533.9"/>
    <n v="533.9"/>
    <s v="Correct"/>
    <x v="10"/>
    <n v="2024"/>
    <s v="Q3"/>
    <s v="Laptop"/>
  </r>
  <r>
    <s v="ORD200889"/>
    <d v="2024-10-27T00:00:00"/>
    <s v="C36725"/>
    <x v="0"/>
    <n v="5"/>
    <n v="650.72"/>
    <s v="350 Main St"/>
    <x v="2"/>
    <s v="Cancelled"/>
    <s v="TRK16808790"/>
    <n v="8"/>
    <s v="WINTER15"/>
    <s v="Email"/>
    <n v="3253.6"/>
    <n v="3253.6000000000004"/>
    <s v="Correct"/>
    <x v="3"/>
    <n v="2024"/>
    <s v="Q4"/>
    <s v="Monitor"/>
  </r>
  <r>
    <s v="ORD200890"/>
    <d v="2023-08-11T00:00:00"/>
    <s v="C51921"/>
    <x v="5"/>
    <n v="3"/>
    <n v="439.53"/>
    <s v="943 Main St"/>
    <x v="0"/>
    <s v="Pending"/>
    <s v="TRK85741716"/>
    <n v="5"/>
    <s v="no coupoun"/>
    <s v="Google"/>
    <n v="1318.59"/>
    <n v="1318.59"/>
    <s v="Correct"/>
    <x v="1"/>
    <n v="2023"/>
    <s v="Q3"/>
    <s v="Laptop"/>
  </r>
  <r>
    <s v="ORD200891"/>
    <d v="2023-11-11T00:00:00"/>
    <s v="C36534"/>
    <x v="0"/>
    <n v="3"/>
    <n v="654.54"/>
    <s v="918 Main St"/>
    <x v="4"/>
    <s v="Returned"/>
    <s v="TRK38952138"/>
    <n v="7"/>
    <s v="SAVE10"/>
    <s v="Referral"/>
    <n v="1963.62"/>
    <n v="1963.62"/>
    <s v="Correct"/>
    <x v="7"/>
    <n v="2023"/>
    <s v="Q4"/>
    <s v="Monitor"/>
  </r>
  <r>
    <s v="ORD200892"/>
    <d v="2024-06-04T00:00:00"/>
    <s v="C72043"/>
    <x v="6"/>
    <n v="1"/>
    <n v="394.53"/>
    <s v="480 Main St"/>
    <x v="4"/>
    <s v="Shipped"/>
    <s v="TRK40896408"/>
    <n v="2"/>
    <s v="FREESHIP"/>
    <s v="Referral"/>
    <n v="394.53"/>
    <n v="394.53"/>
    <s v="Correct"/>
    <x v="5"/>
    <n v="2024"/>
    <s v="Q2"/>
    <s v="Desk"/>
  </r>
  <r>
    <s v="ORD200893"/>
    <d v="2023-03-21T00:00:00"/>
    <s v="C99533"/>
    <x v="0"/>
    <n v="1"/>
    <n v="678.01"/>
    <s v="696 Main St"/>
    <x v="4"/>
    <s v="Pending"/>
    <s v="TRK55701253"/>
    <n v="4"/>
    <s v="FREESHIP"/>
    <s v="Referral"/>
    <n v="678.01"/>
    <n v="678.01"/>
    <s v="Correct"/>
    <x v="9"/>
    <n v="2023"/>
    <s v="Q1"/>
    <s v="Monitor"/>
  </r>
  <r>
    <s v="ORD200894"/>
    <d v="2023-05-23T00:00:00"/>
    <s v="C90852"/>
    <x v="2"/>
    <n v="3"/>
    <n v="575.01"/>
    <s v="852 Main St"/>
    <x v="1"/>
    <s v="Cancelled"/>
    <s v="TRK37551831"/>
    <n v="8"/>
    <s v="WINTER15"/>
    <s v="Instagram"/>
    <n v="1725.03"/>
    <n v="1725.03"/>
    <s v="Correct"/>
    <x v="4"/>
    <n v="2023"/>
    <s v="Q2"/>
    <s v="Tablet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s v="Facebook"/>
    <n v="463.92"/>
    <n v="463.91999999999996"/>
    <s v="Correct"/>
    <x v="7"/>
    <n v="2023"/>
    <s v="Q4"/>
    <s v="Chair"/>
  </r>
  <r>
    <s v="ORD200896"/>
    <d v="2024-10-18T00:00:00"/>
    <s v="C85466"/>
    <x v="6"/>
    <n v="3"/>
    <n v="147.29"/>
    <s v="102 Main St"/>
    <x v="3"/>
    <s v="Shipped"/>
    <s v="TRK66764177"/>
    <n v="3"/>
    <s v="FREESHIP"/>
    <s v="Google"/>
    <n v="441.87"/>
    <n v="441.87"/>
    <s v="Correct"/>
    <x v="3"/>
    <n v="2024"/>
    <s v="Q4"/>
    <s v="Desk"/>
  </r>
  <r>
    <s v="ORD200897"/>
    <d v="2024-09-03T00:00:00"/>
    <s v="C87995"/>
    <x v="5"/>
    <n v="4"/>
    <n v="481.48"/>
    <s v="358 Main St"/>
    <x v="3"/>
    <s v="Delivered"/>
    <s v="TRK38730545"/>
    <n v="5"/>
    <s v="SAVE10"/>
    <s v="Instagram"/>
    <n v="1925.92"/>
    <n v="1925.92"/>
    <s v="Correct"/>
    <x v="11"/>
    <n v="2024"/>
    <s v="Q3"/>
    <s v="Laptop"/>
  </r>
  <r>
    <s v="ORD200898"/>
    <d v="2025-03-05T00:00:00"/>
    <s v="C44619"/>
    <x v="0"/>
    <n v="3"/>
    <n v="158.37"/>
    <s v="742 Main St"/>
    <x v="4"/>
    <s v="Shipped"/>
    <s v="TRK66662528"/>
    <n v="6"/>
    <s v="no coupoun"/>
    <s v="Referral"/>
    <n v="475.11"/>
    <n v="475.11"/>
    <s v="Correct"/>
    <x v="9"/>
    <n v="2025"/>
    <s v="Q1"/>
    <s v="Monitor"/>
  </r>
  <r>
    <s v="ORD200899"/>
    <d v="2025-04-23T00:00:00"/>
    <s v="C99904"/>
    <x v="4"/>
    <n v="2"/>
    <n v="323.37"/>
    <s v="552 Main St"/>
    <x v="1"/>
    <s v="Pending"/>
    <s v="TRK83843411"/>
    <n v="3"/>
    <s v="SAVE10"/>
    <s v="Instagram"/>
    <n v="646.74"/>
    <n v="646.74"/>
    <s v="Correct"/>
    <x v="6"/>
    <n v="2025"/>
    <s v="Q2"/>
    <s v="Printer"/>
  </r>
  <r>
    <s v="ORD200900"/>
    <d v="2025-02-07T00:00:00"/>
    <s v="C52342"/>
    <x v="5"/>
    <n v="5"/>
    <n v="73.83"/>
    <s v="991 Main St"/>
    <x v="0"/>
    <s v="Pending"/>
    <s v="TRK67342586"/>
    <n v="9"/>
    <s v="no coupoun"/>
    <s v="Instagram"/>
    <n v="369.15"/>
    <n v="369.15"/>
    <s v="Correct"/>
    <x v="2"/>
    <n v="2025"/>
    <s v="Q1"/>
    <s v="Laptop"/>
  </r>
  <r>
    <s v="ORD200901"/>
    <d v="2024-04-28T00:00:00"/>
    <s v="C44277"/>
    <x v="2"/>
    <n v="1"/>
    <n v="458.63"/>
    <s v="839 Main St"/>
    <x v="0"/>
    <s v="Returned"/>
    <s v="TRK79321479"/>
    <n v="4"/>
    <s v="WINTER15"/>
    <s v="Referral"/>
    <n v="458.63"/>
    <n v="458.63"/>
    <s v="Correct"/>
    <x v="6"/>
    <n v="2024"/>
    <s v="Q2"/>
    <s v="Tablet"/>
  </r>
  <r>
    <s v="ORD200902"/>
    <d v="2024-07-13T00:00:00"/>
    <s v="C61162"/>
    <x v="0"/>
    <n v="4"/>
    <n v="180.25"/>
    <s v="813 Main St"/>
    <x v="0"/>
    <s v="Cancelled"/>
    <s v="TRK76712124"/>
    <n v="7"/>
    <s v="no coupoun"/>
    <s v="Facebook"/>
    <n v="721"/>
    <n v="721"/>
    <s v="Correct"/>
    <x v="10"/>
    <n v="2024"/>
    <s v="Q3"/>
    <s v="Monitor"/>
  </r>
  <r>
    <s v="ORD200903"/>
    <d v="2023-05-17T00:00:00"/>
    <s v="C80868"/>
    <x v="0"/>
    <n v="3"/>
    <n v="473.49"/>
    <s v="205 Main St"/>
    <x v="2"/>
    <s v="Pending"/>
    <s v="TRK56186636"/>
    <n v="7"/>
    <s v="no coupoun"/>
    <s v="Email"/>
    <n v="1420.47"/>
    <n v="1420.47"/>
    <s v="Correct"/>
    <x v="4"/>
    <n v="2023"/>
    <s v="Q2"/>
    <s v="Monitor"/>
  </r>
  <r>
    <s v="ORD200904"/>
    <d v="2025-02-05T00:00:00"/>
    <s v="C16693"/>
    <x v="0"/>
    <n v="4"/>
    <n v="237.43"/>
    <s v="262 Main St"/>
    <x v="4"/>
    <s v="Cancelled"/>
    <s v="TRK41146508"/>
    <n v="8"/>
    <s v="WINTER15"/>
    <s v="Referral"/>
    <n v="949.72"/>
    <n v="949.72"/>
    <s v="Correct"/>
    <x v="2"/>
    <n v="2025"/>
    <s v="Q1"/>
    <s v="Monitor"/>
  </r>
  <r>
    <s v="ORD200905"/>
    <d v="2023-11-23T00:00:00"/>
    <s v="C67818"/>
    <x v="5"/>
    <n v="1"/>
    <n v="442.39"/>
    <s v="101 Main St"/>
    <x v="3"/>
    <s v="Pending"/>
    <s v="TRK81978113"/>
    <n v="6"/>
    <s v="FREESHIP"/>
    <s v="Facebook"/>
    <n v="442.39"/>
    <n v="442.39"/>
    <s v="Correct"/>
    <x v="7"/>
    <n v="2023"/>
    <s v="Q4"/>
    <s v="Laptop"/>
  </r>
  <r>
    <s v="ORD200906"/>
    <d v="2024-09-03T00:00:00"/>
    <s v="C49938"/>
    <x v="0"/>
    <n v="1"/>
    <n v="62.12"/>
    <s v="141 Main St"/>
    <x v="4"/>
    <s v="Returned"/>
    <s v="TRK80175572"/>
    <n v="2"/>
    <s v="no coupoun"/>
    <s v="Email"/>
    <n v="62.12"/>
    <n v="62.12"/>
    <s v="Correct"/>
    <x v="11"/>
    <n v="2024"/>
    <s v="Q3"/>
    <s v="Monitor"/>
  </r>
  <r>
    <s v="ORD200907"/>
    <d v="2024-08-04T00:00:00"/>
    <s v="C90898"/>
    <x v="6"/>
    <n v="5"/>
    <n v="298.39"/>
    <s v="583 Main St"/>
    <x v="3"/>
    <s v="Cancelled"/>
    <s v="TRK52935170"/>
    <n v="7"/>
    <s v="WINTER15"/>
    <s v="Referral"/>
    <n v="1491.95"/>
    <n v="1491.9499999999998"/>
    <s v="Correct"/>
    <x v="1"/>
    <n v="2024"/>
    <s v="Q3"/>
    <s v="Desk"/>
  </r>
  <r>
    <s v="ORD200908"/>
    <d v="2025-05-06T00:00:00"/>
    <s v="C35117"/>
    <x v="6"/>
    <n v="2"/>
    <n v="697.93"/>
    <s v="332 Main St"/>
    <x v="2"/>
    <s v="Cancelled"/>
    <s v="TRK27155709"/>
    <n v="2"/>
    <s v="SAVE10"/>
    <s v="Google"/>
    <n v="1395.86"/>
    <n v="1395.86"/>
    <s v="Correct"/>
    <x v="4"/>
    <n v="2025"/>
    <s v="Q2"/>
    <s v="Desk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s v="Instagram"/>
    <n v="583.70000000000005"/>
    <n v="583.70000000000005"/>
    <s v="Correct"/>
    <x v="4"/>
    <n v="2024"/>
    <s v="Q2"/>
    <s v="Tablet"/>
  </r>
  <r>
    <s v="ORD200910"/>
    <d v="2024-05-31T00:00:00"/>
    <s v="C36174"/>
    <x v="4"/>
    <n v="3"/>
    <n v="308.98"/>
    <s v="348 Main St"/>
    <x v="4"/>
    <s v="Delivered"/>
    <s v="TRK26397548"/>
    <n v="3"/>
    <s v="SAVE10"/>
    <s v="Instagram"/>
    <n v="926.94"/>
    <n v="926.94"/>
    <s v="Correct"/>
    <x v="4"/>
    <n v="2024"/>
    <s v="Q2"/>
    <s v="Printer"/>
  </r>
  <r>
    <s v="ORD200911"/>
    <d v="2024-08-13T00:00:00"/>
    <s v="C80872"/>
    <x v="6"/>
    <n v="5"/>
    <n v="396.86"/>
    <s v="593 Main St"/>
    <x v="4"/>
    <s v="Cancelled"/>
    <s v="TRK43967487"/>
    <n v="9"/>
    <s v="SAVE10"/>
    <s v="Instagram"/>
    <n v="1984.3"/>
    <n v="1984.3000000000002"/>
    <s v="Correct"/>
    <x v="1"/>
    <n v="2024"/>
    <s v="Q3"/>
    <s v="Desk"/>
  </r>
  <r>
    <s v="ORD200912"/>
    <d v="2024-01-22T00:00:00"/>
    <s v="C67604"/>
    <x v="6"/>
    <n v="2"/>
    <n v="139.69"/>
    <s v="318 Main St"/>
    <x v="1"/>
    <s v="Returned"/>
    <s v="TRK85545920"/>
    <n v="7"/>
    <s v="FREESHIP"/>
    <s v="Email"/>
    <n v="279.38"/>
    <n v="279.38"/>
    <s v="Correct"/>
    <x v="0"/>
    <n v="2024"/>
    <s v="Q1"/>
    <s v="Desk"/>
  </r>
  <r>
    <s v="ORD200913"/>
    <d v="2023-02-16T00:00:00"/>
    <s v="C45599"/>
    <x v="4"/>
    <n v="5"/>
    <n v="475.95"/>
    <s v="505 Main St"/>
    <x v="2"/>
    <s v="Returned"/>
    <s v="TRK62277685"/>
    <n v="8"/>
    <s v="WINTER15"/>
    <s v="Facebook"/>
    <n v="2379.75"/>
    <n v="2379.75"/>
    <s v="Correct"/>
    <x v="2"/>
    <n v="2023"/>
    <s v="Q1"/>
    <s v="Printer"/>
  </r>
  <r>
    <s v="ORD200914"/>
    <d v="2025-02-10T00:00:00"/>
    <s v="C70352"/>
    <x v="6"/>
    <n v="1"/>
    <n v="626.6"/>
    <s v="955 Main St"/>
    <x v="3"/>
    <s v="Returned"/>
    <s v="TRK51589589"/>
    <n v="4"/>
    <s v="WINTER15"/>
    <s v="Facebook"/>
    <n v="626.6"/>
    <n v="626.6"/>
    <s v="Correct"/>
    <x v="2"/>
    <n v="2025"/>
    <s v="Q1"/>
    <s v="Desk"/>
  </r>
  <r>
    <s v="ORD200915"/>
    <d v="2024-02-16T00:00:00"/>
    <s v="C20643"/>
    <x v="5"/>
    <n v="4"/>
    <n v="502.99"/>
    <s v="939 Main St"/>
    <x v="0"/>
    <s v="Shipped"/>
    <s v="TRK30736692"/>
    <n v="4"/>
    <s v="WINTER15"/>
    <s v="Referral"/>
    <n v="2011.96"/>
    <n v="2011.96"/>
    <s v="Correct"/>
    <x v="2"/>
    <n v="2024"/>
    <s v="Q1"/>
    <s v="Laptop"/>
  </r>
  <r>
    <s v="ORD200916"/>
    <d v="2024-06-21T00:00:00"/>
    <s v="C35669"/>
    <x v="4"/>
    <n v="5"/>
    <n v="578.83000000000004"/>
    <s v="165 Main St"/>
    <x v="4"/>
    <s v="Returned"/>
    <s v="TRK13928455"/>
    <n v="6"/>
    <s v="no coupoun"/>
    <s v="Referral"/>
    <n v="2894.15"/>
    <n v="2894.15"/>
    <s v="Correct"/>
    <x v="5"/>
    <n v="2024"/>
    <s v="Q2"/>
    <s v="Printer"/>
  </r>
  <r>
    <s v="ORD200917"/>
    <d v="2025-01-20T00:00:00"/>
    <s v="C65524"/>
    <x v="5"/>
    <n v="5"/>
    <n v="383.82"/>
    <s v="836 Main St"/>
    <x v="2"/>
    <s v="Returned"/>
    <s v="TRK19315310"/>
    <n v="7"/>
    <s v="FREESHIP"/>
    <s v="Google"/>
    <n v="1919.1"/>
    <n v="1919.1"/>
    <s v="Correct"/>
    <x v="0"/>
    <n v="2025"/>
    <s v="Q1"/>
    <s v="Laptop"/>
  </r>
  <r>
    <s v="ORD200918"/>
    <d v="2025-06-24T00:00:00"/>
    <s v="C74359"/>
    <x v="5"/>
    <n v="5"/>
    <n v="368.25"/>
    <s v="706 Main St"/>
    <x v="1"/>
    <s v="Delivered"/>
    <s v="TRK18250450"/>
    <n v="5"/>
    <s v="no coupoun"/>
    <s v="Instagram"/>
    <n v="1841.25"/>
    <n v="1841.25"/>
    <s v="Correct"/>
    <x v="5"/>
    <n v="2025"/>
    <s v="Q2"/>
    <s v="Laptop"/>
  </r>
  <r>
    <s v="ORD200919"/>
    <d v="2025-02-07T00:00:00"/>
    <s v="C92086"/>
    <x v="4"/>
    <n v="2"/>
    <n v="374.6"/>
    <s v="187 Main St"/>
    <x v="1"/>
    <s v="Shipped"/>
    <s v="TRK23357668"/>
    <n v="3"/>
    <s v="FREESHIP"/>
    <s v="Referral"/>
    <n v="749.2"/>
    <n v="749.2"/>
    <s v="Correct"/>
    <x v="2"/>
    <n v="2025"/>
    <s v="Q1"/>
    <s v="Printer"/>
  </r>
  <r>
    <s v="ORD200920"/>
    <d v="2025-03-12T00:00:00"/>
    <s v="C26137"/>
    <x v="2"/>
    <n v="2"/>
    <n v="428.09"/>
    <s v="978 Main St"/>
    <x v="2"/>
    <s v="Returned"/>
    <s v="TRK98110407"/>
    <n v="6"/>
    <s v="no coupoun"/>
    <s v="Instagram"/>
    <n v="856.18"/>
    <n v="856.18"/>
    <s v="Correct"/>
    <x v="9"/>
    <n v="2025"/>
    <s v="Q1"/>
    <s v="Tablet"/>
  </r>
  <r>
    <s v="ORD200921"/>
    <d v="2023-07-24T00:00:00"/>
    <s v="C90573"/>
    <x v="2"/>
    <n v="1"/>
    <n v="438.93"/>
    <s v="144 Main St"/>
    <x v="3"/>
    <s v="Cancelled"/>
    <s v="TRK90075720"/>
    <n v="3"/>
    <s v="SAVE10"/>
    <s v="Referral"/>
    <n v="438.93"/>
    <n v="438.93"/>
    <s v="Correct"/>
    <x v="10"/>
    <n v="2023"/>
    <s v="Q3"/>
    <s v="Tablet"/>
  </r>
  <r>
    <s v="ORD200922"/>
    <d v="2024-06-17T00:00:00"/>
    <s v="C81857"/>
    <x v="6"/>
    <n v="2"/>
    <n v="563.82000000000005"/>
    <s v="487 Main St"/>
    <x v="2"/>
    <s v="Pending"/>
    <s v="TRK79737732"/>
    <n v="3"/>
    <s v="no coupoun"/>
    <s v="Instagram"/>
    <n v="1127.6400000000001"/>
    <n v="1127.6400000000001"/>
    <s v="Correct"/>
    <x v="5"/>
    <n v="2024"/>
    <s v="Q2"/>
    <s v="Desk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s v="Facebook"/>
    <n v="1949.79"/>
    <n v="1949.79"/>
    <s v="Correct"/>
    <x v="2"/>
    <n v="2023"/>
    <s v="Q1"/>
    <s v="Printer"/>
  </r>
  <r>
    <s v="ORD200924"/>
    <d v="2025-03-22T00:00:00"/>
    <s v="C81319"/>
    <x v="4"/>
    <n v="5"/>
    <n v="268.43"/>
    <s v="991 Main St"/>
    <x v="4"/>
    <s v="Returned"/>
    <s v="TRK55330558"/>
    <n v="5"/>
    <s v="SAVE10"/>
    <s v="Email"/>
    <n v="1342.15"/>
    <n v="1342.15"/>
    <s v="Correct"/>
    <x v="9"/>
    <n v="2025"/>
    <s v="Q1"/>
    <s v="Printer"/>
  </r>
  <r>
    <s v="ORD200925"/>
    <d v="2024-12-20T00:00:00"/>
    <s v="C78500"/>
    <x v="0"/>
    <n v="5"/>
    <n v="502.47"/>
    <s v="304 Main St"/>
    <x v="1"/>
    <s v="Shipped"/>
    <s v="TRK97460884"/>
    <n v="10"/>
    <s v="WINTER15"/>
    <s v="Email"/>
    <n v="2512.35"/>
    <n v="2512.3500000000004"/>
    <s v="Correct"/>
    <x v="8"/>
    <n v="2024"/>
    <s v="Q4"/>
    <s v="Monitor"/>
  </r>
  <r>
    <s v="ORD200926"/>
    <d v="2024-03-20T00:00:00"/>
    <s v="C67533"/>
    <x v="6"/>
    <n v="1"/>
    <n v="26.95"/>
    <s v="672 Main St"/>
    <x v="4"/>
    <s v="Delivered"/>
    <s v="TRK14566395"/>
    <n v="1"/>
    <s v="WINTER15"/>
    <s v="Email"/>
    <n v="26.95"/>
    <n v="26.95"/>
    <s v="Correct"/>
    <x v="9"/>
    <n v="2024"/>
    <s v="Q1"/>
    <s v="Desk"/>
  </r>
  <r>
    <s v="ORD200927"/>
    <d v="2023-02-14T00:00:00"/>
    <s v="C35566"/>
    <x v="5"/>
    <n v="4"/>
    <n v="64.69"/>
    <s v="638 Main St"/>
    <x v="0"/>
    <s v="Shipped"/>
    <s v="TRK10003020"/>
    <n v="7"/>
    <s v="WINTER15"/>
    <s v="Google"/>
    <n v="258.76"/>
    <n v="258.76"/>
    <s v="Correct"/>
    <x v="2"/>
    <n v="2023"/>
    <s v="Q1"/>
    <s v="Laptop"/>
  </r>
  <r>
    <s v="ORD200928"/>
    <d v="2024-05-09T00:00:00"/>
    <s v="C77166"/>
    <x v="5"/>
    <n v="3"/>
    <n v="247.11"/>
    <s v="821 Main St"/>
    <x v="0"/>
    <s v="Returned"/>
    <s v="TRK18896595"/>
    <n v="3"/>
    <s v="WINTER15"/>
    <s v="Referral"/>
    <n v="741.33"/>
    <n v="741.33"/>
    <s v="Correct"/>
    <x v="4"/>
    <n v="2024"/>
    <s v="Q2"/>
    <s v="Laptop"/>
  </r>
  <r>
    <s v="ORD200929"/>
    <d v="2024-10-16T00:00:00"/>
    <s v="C67936"/>
    <x v="2"/>
    <n v="2"/>
    <n v="536.25"/>
    <s v="553 Main St"/>
    <x v="0"/>
    <s v="Pending"/>
    <s v="TRK71803414"/>
    <n v="3"/>
    <s v="no coupoun"/>
    <s v="Email"/>
    <n v="1072.5"/>
    <n v="1072.5"/>
    <s v="Correct"/>
    <x v="3"/>
    <n v="2024"/>
    <s v="Q4"/>
    <s v="Tablet"/>
  </r>
  <r>
    <s v="ORD200930"/>
    <d v="2024-12-16T00:00:00"/>
    <s v="C59554"/>
    <x v="1"/>
    <n v="2"/>
    <n v="456.04"/>
    <s v="382 Main St"/>
    <x v="0"/>
    <s v="Returned"/>
    <s v="TRK28182447"/>
    <n v="4"/>
    <s v="FREESHIP"/>
    <s v="Email"/>
    <n v="912.08"/>
    <n v="912.08"/>
    <s v="Correct"/>
    <x v="8"/>
    <n v="2024"/>
    <s v="Q4"/>
    <s v="Phone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s v="Google"/>
    <n v="80.459999999999994"/>
    <n v="80.459999999999994"/>
    <s v="Correct"/>
    <x v="0"/>
    <n v="2024"/>
    <s v="Q1"/>
    <s v="Printer"/>
  </r>
  <r>
    <s v="ORD200932"/>
    <d v="2023-03-26T00:00:00"/>
    <s v="C26118"/>
    <x v="5"/>
    <n v="2"/>
    <n v="72.39"/>
    <s v="168 Main St"/>
    <x v="1"/>
    <s v="Delivered"/>
    <s v="TRK15334251"/>
    <n v="7"/>
    <s v="WINTER15"/>
    <s v="Instagram"/>
    <n v="144.78"/>
    <n v="144.78"/>
    <s v="Correct"/>
    <x v="9"/>
    <n v="2023"/>
    <s v="Q1"/>
    <s v="Laptop"/>
  </r>
  <r>
    <s v="ORD200933"/>
    <d v="2023-01-26T00:00:00"/>
    <s v="C59685"/>
    <x v="0"/>
    <n v="2"/>
    <n v="394.16"/>
    <s v="255 Main St"/>
    <x v="1"/>
    <s v="Shipped"/>
    <s v="TRK43718093"/>
    <n v="2"/>
    <s v="no coupoun"/>
    <s v="Referral"/>
    <n v="788.32"/>
    <n v="788.32"/>
    <s v="Correct"/>
    <x v="0"/>
    <n v="2023"/>
    <s v="Q1"/>
    <s v="Monitor"/>
  </r>
  <r>
    <s v="ORD200934"/>
    <d v="2025-06-01T00:00:00"/>
    <s v="C40304"/>
    <x v="5"/>
    <n v="4"/>
    <n v="119.84"/>
    <s v="692 Main St"/>
    <x v="3"/>
    <s v="Shipped"/>
    <s v="TRK85790948"/>
    <n v="8"/>
    <s v="FREESHIP"/>
    <s v="Referral"/>
    <n v="479.36"/>
    <n v="479.36"/>
    <s v="Correct"/>
    <x v="5"/>
    <n v="2025"/>
    <s v="Q2"/>
    <s v="Laptop"/>
  </r>
  <r>
    <s v="ORD200935"/>
    <d v="2023-11-24T00:00:00"/>
    <s v="C39593"/>
    <x v="1"/>
    <n v="3"/>
    <n v="692.71"/>
    <s v="398 Main St"/>
    <x v="2"/>
    <s v="Delivered"/>
    <s v="TRK62405253"/>
    <n v="3"/>
    <s v="FREESHIP"/>
    <s v="Instagram"/>
    <n v="2078.13"/>
    <n v="2078.13"/>
    <s v="Correct"/>
    <x v="7"/>
    <n v="2023"/>
    <s v="Q4"/>
    <s v="Phone"/>
  </r>
  <r>
    <s v="ORD200936"/>
    <d v="2024-01-12T00:00:00"/>
    <s v="C50612"/>
    <x v="3"/>
    <n v="4"/>
    <n v="56.66"/>
    <s v="737 Main St"/>
    <x v="1"/>
    <s v="Delivered"/>
    <s v="TRK44140968"/>
    <n v="4"/>
    <s v="SAVE10"/>
    <s v="Instagram"/>
    <n v="226.64"/>
    <n v="226.64"/>
    <s v="Correct"/>
    <x v="0"/>
    <n v="2024"/>
    <s v="Q1"/>
    <s v="Chair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s v="Email"/>
    <n v="597.05999999999995"/>
    <n v="597.05999999999995"/>
    <s v="Correct"/>
    <x v="0"/>
    <n v="2024"/>
    <s v="Q1"/>
    <s v="Chair"/>
  </r>
  <r>
    <s v="ORD200938"/>
    <d v="2023-07-12T00:00:00"/>
    <s v="C39017"/>
    <x v="3"/>
    <n v="3"/>
    <n v="331.46"/>
    <s v="696 Main St"/>
    <x v="2"/>
    <s v="Cancelled"/>
    <s v="TRK91155214"/>
    <n v="6"/>
    <s v="WINTER15"/>
    <s v="Referral"/>
    <n v="994.37999999999988"/>
    <n v="994.37999999999988"/>
    <s v="Correct"/>
    <x v="10"/>
    <n v="2023"/>
    <s v="Q3"/>
    <s v="Chair"/>
  </r>
  <r>
    <s v="ORD200939"/>
    <d v="2025-04-16T00:00:00"/>
    <s v="C48510"/>
    <x v="5"/>
    <n v="2"/>
    <n v="521.4"/>
    <s v="212 Main St"/>
    <x v="4"/>
    <s v="Delivered"/>
    <s v="TRK53152886"/>
    <n v="7"/>
    <s v="SAVE10"/>
    <s v="Instagram"/>
    <n v="1042.8"/>
    <n v="1042.8"/>
    <s v="Correct"/>
    <x v="6"/>
    <n v="2025"/>
    <s v="Q2"/>
    <s v="Laptop"/>
  </r>
  <r>
    <s v="ORD200940"/>
    <d v="2023-03-27T00:00:00"/>
    <s v="C74003"/>
    <x v="4"/>
    <n v="4"/>
    <n v="305.32"/>
    <s v="679 Main St"/>
    <x v="1"/>
    <s v="Cancelled"/>
    <s v="TRK91525779"/>
    <n v="4"/>
    <s v="SAVE10"/>
    <s v="Google"/>
    <n v="1221.28"/>
    <n v="1221.28"/>
    <s v="Correct"/>
    <x v="9"/>
    <n v="2023"/>
    <s v="Q1"/>
    <s v="Printer"/>
  </r>
  <r>
    <s v="ORD200941"/>
    <d v="2023-07-17T00:00:00"/>
    <s v="C91155"/>
    <x v="4"/>
    <n v="5"/>
    <n v="111.7"/>
    <s v="599 Main St"/>
    <x v="2"/>
    <s v="Cancelled"/>
    <s v="TRK82162952"/>
    <n v="9"/>
    <s v="FREESHIP"/>
    <s v="Email"/>
    <n v="558.5"/>
    <n v="558.5"/>
    <s v="Correct"/>
    <x v="10"/>
    <n v="2023"/>
    <s v="Q3"/>
    <s v="Printer"/>
  </r>
  <r>
    <s v="ORD200942"/>
    <d v="2023-09-29T00:00:00"/>
    <s v="C17591"/>
    <x v="2"/>
    <n v="1"/>
    <n v="479.76"/>
    <s v="882 Main St"/>
    <x v="2"/>
    <s v="Pending"/>
    <s v="TRK56070470"/>
    <n v="1"/>
    <s v="no coupoun"/>
    <s v="Email"/>
    <n v="479.76"/>
    <n v="479.76"/>
    <s v="Correct"/>
    <x v="11"/>
    <n v="2023"/>
    <s v="Q3"/>
    <s v="Tablet"/>
  </r>
  <r>
    <s v="ORD200943"/>
    <d v="2023-12-27T00:00:00"/>
    <s v="C43330"/>
    <x v="0"/>
    <n v="3"/>
    <n v="193.49"/>
    <s v="355 Main St"/>
    <x v="3"/>
    <s v="Returned"/>
    <s v="TRK71594838"/>
    <n v="6"/>
    <s v="FREESHIP"/>
    <s v="Facebook"/>
    <n v="580.47"/>
    <n v="580.47"/>
    <s v="Correct"/>
    <x v="8"/>
    <n v="2023"/>
    <s v="Q4"/>
    <s v="Monitor"/>
  </r>
  <r>
    <s v="ORD200944"/>
    <d v="2024-12-16T00:00:00"/>
    <s v="C32687"/>
    <x v="5"/>
    <n v="2"/>
    <n v="426.22"/>
    <s v="448 Main St"/>
    <x v="1"/>
    <s v="Delivered"/>
    <s v="TRK98284560"/>
    <n v="7"/>
    <s v="WINTER15"/>
    <s v="Google"/>
    <n v="852.44"/>
    <n v="852.44"/>
    <s v="Correct"/>
    <x v="8"/>
    <n v="2024"/>
    <s v="Q4"/>
    <s v="Laptop"/>
  </r>
  <r>
    <s v="ORD200945"/>
    <d v="2023-08-20T00:00:00"/>
    <s v="C79722"/>
    <x v="2"/>
    <n v="5"/>
    <n v="276.44"/>
    <s v="619 Main St"/>
    <x v="3"/>
    <s v="Shipped"/>
    <s v="TRK29976438"/>
    <n v="10"/>
    <s v="FREESHIP"/>
    <s v="Referral"/>
    <n v="1382.2"/>
    <n v="1382.2"/>
    <s v="Correct"/>
    <x v="1"/>
    <n v="2023"/>
    <s v="Q3"/>
    <s v="Tablet"/>
  </r>
  <r>
    <s v="ORD200946"/>
    <d v="2024-05-04T00:00:00"/>
    <s v="C65021"/>
    <x v="1"/>
    <n v="2"/>
    <n v="404.96"/>
    <s v="546 Main St"/>
    <x v="4"/>
    <s v="Shipped"/>
    <s v="TRK20626179"/>
    <n v="4"/>
    <s v="SAVE10"/>
    <s v="Email"/>
    <n v="809.92"/>
    <n v="809.92"/>
    <s v="Correct"/>
    <x v="4"/>
    <n v="2024"/>
    <s v="Q2"/>
    <s v="Phone"/>
  </r>
  <r>
    <s v="ORD200947"/>
    <d v="2023-09-07T00:00:00"/>
    <s v="C85520"/>
    <x v="1"/>
    <n v="4"/>
    <n v="465.66"/>
    <s v="119 Main St"/>
    <x v="1"/>
    <s v="Returned"/>
    <s v="TRK65994177"/>
    <n v="9"/>
    <s v="FREESHIP"/>
    <s v="Email"/>
    <n v="1862.64"/>
    <n v="1862.64"/>
    <s v="Correct"/>
    <x v="11"/>
    <n v="2023"/>
    <s v="Q3"/>
    <s v="Phone"/>
  </r>
  <r>
    <s v="ORD200948"/>
    <d v="2024-06-21T00:00:00"/>
    <s v="C94569"/>
    <x v="1"/>
    <n v="2"/>
    <n v="594.07000000000005"/>
    <s v="739 Main St"/>
    <x v="3"/>
    <s v="Cancelled"/>
    <s v="TRK79269291"/>
    <n v="2"/>
    <s v="no coupoun"/>
    <s v="Google"/>
    <n v="1188.1400000000001"/>
    <n v="1188.1400000000001"/>
    <s v="Correct"/>
    <x v="5"/>
    <n v="2024"/>
    <s v="Q2"/>
    <s v="Phone"/>
  </r>
  <r>
    <s v="ORD200949"/>
    <d v="2023-11-09T00:00:00"/>
    <s v="C55778"/>
    <x v="6"/>
    <n v="5"/>
    <n v="110.38"/>
    <s v="319 Main St"/>
    <x v="4"/>
    <s v="Pending"/>
    <s v="TRK93797108"/>
    <n v="10"/>
    <s v="no coupoun"/>
    <s v="Referral"/>
    <n v="551.9"/>
    <n v="551.9"/>
    <s v="Correct"/>
    <x v="7"/>
    <n v="2023"/>
    <s v="Q4"/>
    <s v="Desk"/>
  </r>
  <r>
    <s v="ORD200950"/>
    <d v="2024-05-31T00:00:00"/>
    <s v="C19722"/>
    <x v="5"/>
    <n v="1"/>
    <n v="596.24"/>
    <s v="891 Main St"/>
    <x v="2"/>
    <s v="Returned"/>
    <s v="TRK78094361"/>
    <n v="4"/>
    <s v="FREESHIP"/>
    <s v="Instagram"/>
    <n v="596.24"/>
    <n v="596.24"/>
    <s v="Correct"/>
    <x v="4"/>
    <n v="2024"/>
    <s v="Q2"/>
    <s v="Laptop"/>
  </r>
  <r>
    <s v="ORD200951"/>
    <d v="2024-07-22T00:00:00"/>
    <s v="C74928"/>
    <x v="4"/>
    <n v="2"/>
    <n v="306.24"/>
    <s v="589 Main St"/>
    <x v="1"/>
    <s v="Returned"/>
    <s v="TRK39845914"/>
    <n v="4"/>
    <s v="FREESHIP"/>
    <s v="Email"/>
    <n v="612.48"/>
    <n v="612.48"/>
    <s v="Correct"/>
    <x v="10"/>
    <n v="2024"/>
    <s v="Q3"/>
    <s v="Printer"/>
  </r>
  <r>
    <s v="ORD200952"/>
    <d v="2025-02-27T00:00:00"/>
    <s v="C49111"/>
    <x v="0"/>
    <n v="3"/>
    <n v="503.39"/>
    <s v="225 Main St"/>
    <x v="1"/>
    <s v="Pending"/>
    <s v="TRK45303393"/>
    <n v="5"/>
    <s v="no coupoun"/>
    <s v="Facebook"/>
    <n v="1510.17"/>
    <n v="1510.17"/>
    <s v="Correct"/>
    <x v="2"/>
    <n v="2025"/>
    <s v="Q1"/>
    <s v="Monitor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s v="Facebook"/>
    <n v="131.61000000000001"/>
    <n v="131.61000000000001"/>
    <s v="Correct"/>
    <x v="2"/>
    <n v="2023"/>
    <s v="Q1"/>
    <s v="Phone"/>
  </r>
  <r>
    <s v="ORD200954"/>
    <d v="2024-10-22T00:00:00"/>
    <s v="C68609"/>
    <x v="3"/>
    <n v="3"/>
    <n v="443.44"/>
    <s v="240 Main St"/>
    <x v="3"/>
    <s v="Shipped"/>
    <s v="TRK58273778"/>
    <n v="3"/>
    <s v="FREESHIP"/>
    <s v="Google"/>
    <n v="1330.32"/>
    <n v="1330.32"/>
    <s v="Correct"/>
    <x v="3"/>
    <n v="2024"/>
    <s v="Q4"/>
    <s v="Chair"/>
  </r>
  <r>
    <s v="ORD200955"/>
    <d v="2023-01-23T00:00:00"/>
    <s v="C82068"/>
    <x v="3"/>
    <n v="1"/>
    <n v="408.13"/>
    <s v="164 Main St"/>
    <x v="3"/>
    <s v="Shipped"/>
    <s v="TRK25779180"/>
    <n v="3"/>
    <s v="WINTER15"/>
    <s v="Instagram"/>
    <n v="408.13"/>
    <n v="408.13"/>
    <s v="Correct"/>
    <x v="0"/>
    <n v="2023"/>
    <s v="Q1"/>
    <s v="Chair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s v="Referral"/>
    <n v="321.95999999999998"/>
    <n v="321.95999999999998"/>
    <s v="Correct"/>
    <x v="6"/>
    <n v="2024"/>
    <s v="Q2"/>
    <s v="Phone"/>
  </r>
  <r>
    <s v="ORD200957"/>
    <d v="2023-01-12T00:00:00"/>
    <s v="C73575"/>
    <x v="0"/>
    <n v="5"/>
    <n v="643.89"/>
    <s v="851 Main St"/>
    <x v="4"/>
    <s v="Returned"/>
    <s v="TRK23387612"/>
    <n v="8"/>
    <s v="WINTER15"/>
    <s v="Facebook"/>
    <n v="3219.45"/>
    <n v="3219.45"/>
    <s v="Correct"/>
    <x v="0"/>
    <n v="2023"/>
    <s v="Q1"/>
    <s v="Monitor"/>
  </r>
  <r>
    <s v="ORD200958"/>
    <d v="2023-05-13T00:00:00"/>
    <s v="C82685"/>
    <x v="6"/>
    <n v="3"/>
    <n v="158.66"/>
    <s v="537 Main St"/>
    <x v="3"/>
    <s v="Delivered"/>
    <s v="TRK70184320"/>
    <n v="7"/>
    <s v="WINTER15"/>
    <s v="Email"/>
    <n v="475.98"/>
    <n v="475.98"/>
    <s v="Correct"/>
    <x v="4"/>
    <n v="2023"/>
    <s v="Q2"/>
    <s v="Desk"/>
  </r>
  <r>
    <s v="ORD200959"/>
    <d v="2024-04-13T00:00:00"/>
    <s v="C73996"/>
    <x v="2"/>
    <n v="2"/>
    <n v="143.82"/>
    <s v="856 Main St"/>
    <x v="2"/>
    <s v="Returned"/>
    <s v="TRK74579570"/>
    <n v="6"/>
    <s v="SAVE10"/>
    <s v="Instagram"/>
    <n v="287.64"/>
    <n v="287.64"/>
    <s v="Correct"/>
    <x v="6"/>
    <n v="2024"/>
    <s v="Q2"/>
    <s v="Tablet"/>
  </r>
  <r>
    <s v="ORD200960"/>
    <d v="2023-12-11T00:00:00"/>
    <s v="C87687"/>
    <x v="5"/>
    <n v="3"/>
    <n v="379.07"/>
    <s v="312 Main St"/>
    <x v="3"/>
    <s v="Pending"/>
    <s v="TRK60383805"/>
    <n v="3"/>
    <s v="WINTER15"/>
    <s v="Google"/>
    <n v="1137.21"/>
    <n v="1137.21"/>
    <s v="Correct"/>
    <x v="8"/>
    <n v="2023"/>
    <s v="Q4"/>
    <s v="Laptop"/>
  </r>
  <r>
    <s v="ORD200961"/>
    <d v="2024-11-11T00:00:00"/>
    <s v="C55464"/>
    <x v="1"/>
    <n v="1"/>
    <n v="601.36"/>
    <s v="532 Main St"/>
    <x v="1"/>
    <s v="Shipped"/>
    <s v="TRK81178598"/>
    <n v="1"/>
    <s v="no coupoun"/>
    <s v="Facebook"/>
    <n v="601.36"/>
    <n v="601.36"/>
    <s v="Correct"/>
    <x v="7"/>
    <n v="2024"/>
    <s v="Q4"/>
    <s v="Phone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s v="Referral"/>
    <n v="284.16000000000003"/>
    <n v="284.16000000000003"/>
    <s v="Correct"/>
    <x v="11"/>
    <n v="2024"/>
    <s v="Q3"/>
    <s v="Phone"/>
  </r>
  <r>
    <s v="ORD200963"/>
    <d v="2024-03-11T00:00:00"/>
    <s v="C88075"/>
    <x v="3"/>
    <n v="5"/>
    <n v="530.34"/>
    <s v="970 Main St"/>
    <x v="1"/>
    <s v="Shipped"/>
    <s v="TRK42832976"/>
    <n v="9"/>
    <s v="FREESHIP"/>
    <s v="Google"/>
    <n v="2651.7"/>
    <n v="2651.7000000000003"/>
    <s v="Correct"/>
    <x v="9"/>
    <n v="2024"/>
    <s v="Q1"/>
    <s v="Chair"/>
  </r>
  <r>
    <s v="ORD200964"/>
    <d v="2023-08-20T00:00:00"/>
    <s v="C18583"/>
    <x v="1"/>
    <n v="5"/>
    <n v="364.42"/>
    <s v="778 Main St"/>
    <x v="2"/>
    <s v="Cancelled"/>
    <s v="TRK43084595"/>
    <n v="10"/>
    <s v="SAVE10"/>
    <s v="Referral"/>
    <n v="1822.1"/>
    <n v="1822.1000000000001"/>
    <s v="Correct"/>
    <x v="1"/>
    <n v="2023"/>
    <s v="Q3"/>
    <s v="Phone"/>
  </r>
  <r>
    <s v="ORD200965"/>
    <d v="2025-06-18T00:00:00"/>
    <s v="C70412"/>
    <x v="5"/>
    <n v="4"/>
    <n v="578.28"/>
    <s v="791 Main St"/>
    <x v="3"/>
    <s v="Cancelled"/>
    <s v="TRK22192783"/>
    <n v="5"/>
    <s v="FREESHIP"/>
    <s v="Email"/>
    <n v="2313.12"/>
    <n v="2313.12"/>
    <s v="Correct"/>
    <x v="5"/>
    <n v="2025"/>
    <s v="Q2"/>
    <s v="Laptop"/>
  </r>
  <r>
    <s v="ORD200966"/>
    <d v="2025-05-20T00:00:00"/>
    <s v="C58503"/>
    <x v="0"/>
    <n v="5"/>
    <n v="280.52"/>
    <s v="290 Main St"/>
    <x v="2"/>
    <s v="Cancelled"/>
    <s v="TRK12981657"/>
    <n v="7"/>
    <s v="WINTER15"/>
    <s v="Facebook"/>
    <n v="1402.6"/>
    <n v="1402.6"/>
    <s v="Correct"/>
    <x v="4"/>
    <n v="2025"/>
    <s v="Q2"/>
    <s v="Monitor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s v="Google"/>
    <n v="3194.6"/>
    <n v="3194.6"/>
    <s v="Correct"/>
    <x v="4"/>
    <n v="2025"/>
    <s v="Q2"/>
    <s v="Tablet"/>
  </r>
  <r>
    <s v="ORD200968"/>
    <d v="2024-02-08T00:00:00"/>
    <s v="C67870"/>
    <x v="0"/>
    <n v="4"/>
    <n v="412.2"/>
    <s v="664 Main St"/>
    <x v="2"/>
    <s v="Shipped"/>
    <s v="TRK72602178"/>
    <n v="6"/>
    <s v="WINTER15"/>
    <s v="Referral"/>
    <n v="1648.8"/>
    <n v="1648.8"/>
    <s v="Correct"/>
    <x v="2"/>
    <n v="2024"/>
    <s v="Q1"/>
    <s v="Monitor"/>
  </r>
  <r>
    <s v="ORD200969"/>
    <d v="2025-06-05T00:00:00"/>
    <s v="C19439"/>
    <x v="6"/>
    <n v="1"/>
    <n v="440.34"/>
    <s v="675 Main St"/>
    <x v="3"/>
    <s v="Shipped"/>
    <s v="TRK25383993"/>
    <n v="2"/>
    <s v="WINTER15"/>
    <s v="Facebook"/>
    <n v="440.34"/>
    <n v="440.34"/>
    <s v="Correct"/>
    <x v="5"/>
    <n v="2025"/>
    <s v="Q2"/>
    <s v="Desk"/>
  </r>
  <r>
    <s v="ORD200970"/>
    <d v="2024-09-07T00:00:00"/>
    <s v="C72664"/>
    <x v="6"/>
    <n v="1"/>
    <n v="627.15"/>
    <s v="241 Main St"/>
    <x v="4"/>
    <s v="Delivered"/>
    <s v="TRK86694331"/>
    <n v="5"/>
    <s v="SAVE10"/>
    <s v="Instagram"/>
    <n v="627.15"/>
    <n v="627.15"/>
    <s v="Correct"/>
    <x v="11"/>
    <n v="2024"/>
    <s v="Q3"/>
    <s v="Desk"/>
  </r>
  <r>
    <s v="ORD200971"/>
    <d v="2024-05-27T00:00:00"/>
    <s v="C32650"/>
    <x v="0"/>
    <n v="2"/>
    <n v="605.26"/>
    <s v="934 Main St"/>
    <x v="4"/>
    <s v="Cancelled"/>
    <s v="TRK66648743"/>
    <n v="4"/>
    <s v="WINTER15"/>
    <s v="Referral"/>
    <n v="1210.52"/>
    <n v="1210.52"/>
    <s v="Correct"/>
    <x v="4"/>
    <n v="2024"/>
    <s v="Q2"/>
    <s v="Monitor"/>
  </r>
  <r>
    <s v="ORD200972"/>
    <d v="2024-06-09T00:00:00"/>
    <s v="C66438"/>
    <x v="5"/>
    <n v="1"/>
    <n v="90.27"/>
    <s v="816 Main St"/>
    <x v="4"/>
    <s v="Delivered"/>
    <s v="TRK32035271"/>
    <n v="5"/>
    <s v="SAVE10"/>
    <s v="Facebook"/>
    <n v="90.27"/>
    <n v="90.27"/>
    <s v="Correct"/>
    <x v="5"/>
    <n v="2024"/>
    <s v="Q2"/>
    <s v="Laptop"/>
  </r>
  <r>
    <s v="ORD200973"/>
    <d v="2025-06-09T00:00:00"/>
    <s v="C70010"/>
    <x v="6"/>
    <n v="5"/>
    <n v="230.77"/>
    <s v="141 Main St"/>
    <x v="1"/>
    <s v="Pending"/>
    <s v="TRK50594008"/>
    <n v="10"/>
    <s v="WINTER15"/>
    <s v="Referral"/>
    <n v="1153.8499999999999"/>
    <n v="1153.8500000000001"/>
    <s v="Correct"/>
    <x v="5"/>
    <n v="2025"/>
    <s v="Q2"/>
    <s v="Desk"/>
  </r>
  <r>
    <s v="ORD200974"/>
    <d v="2023-09-27T00:00:00"/>
    <s v="C30722"/>
    <x v="6"/>
    <n v="5"/>
    <n v="266.77999999999997"/>
    <s v="274 Main St"/>
    <x v="3"/>
    <s v="Cancelled"/>
    <s v="TRK52088168"/>
    <n v="5"/>
    <s v="no coupoun"/>
    <s v="Email"/>
    <n v="1333.9"/>
    <n v="1333.8999999999999"/>
    <s v="Correct"/>
    <x v="11"/>
    <n v="2023"/>
    <s v="Q3"/>
    <s v="Desk"/>
  </r>
  <r>
    <s v="ORD200975"/>
    <d v="2023-05-18T00:00:00"/>
    <s v="C70529"/>
    <x v="6"/>
    <n v="1"/>
    <n v="105.92"/>
    <s v="974 Main St"/>
    <x v="3"/>
    <s v="Returned"/>
    <s v="TRK82165408"/>
    <n v="6"/>
    <s v="SAVE10"/>
    <s v="Email"/>
    <n v="105.92"/>
    <n v="105.92"/>
    <s v="Correct"/>
    <x v="4"/>
    <n v="2023"/>
    <s v="Q2"/>
    <s v="Desk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s v="Referral"/>
    <n v="1767.9"/>
    <n v="1767.8999999999999"/>
    <s v="Correct"/>
    <x v="6"/>
    <n v="2024"/>
    <s v="Q2"/>
    <s v="Tablet"/>
  </r>
  <r>
    <s v="ORD200977"/>
    <d v="2023-01-28T00:00:00"/>
    <s v="C85841"/>
    <x v="3"/>
    <n v="4"/>
    <n v="649.47"/>
    <s v="608 Main St"/>
    <x v="4"/>
    <s v="Pending"/>
    <s v="TRK99820544"/>
    <n v="8"/>
    <s v="SAVE10"/>
    <s v="Google"/>
    <n v="2597.88"/>
    <n v="2597.88"/>
    <s v="Correct"/>
    <x v="0"/>
    <n v="2023"/>
    <s v="Q1"/>
    <s v="Chair"/>
  </r>
  <r>
    <s v="ORD200978"/>
    <d v="2024-06-25T00:00:00"/>
    <s v="C41508"/>
    <x v="4"/>
    <n v="4"/>
    <n v="107.49"/>
    <s v="993 Main St"/>
    <x v="4"/>
    <s v="Delivered"/>
    <s v="TRK61047536"/>
    <n v="5"/>
    <s v="no coupoun"/>
    <s v="Google"/>
    <n v="429.96"/>
    <n v="429.96"/>
    <s v="Correct"/>
    <x v="5"/>
    <n v="2024"/>
    <s v="Q2"/>
    <s v="Printer"/>
  </r>
  <r>
    <s v="ORD200979"/>
    <d v="2023-05-31T00:00:00"/>
    <s v="C75018"/>
    <x v="0"/>
    <n v="3"/>
    <n v="669.06"/>
    <s v="299 Main St"/>
    <x v="4"/>
    <s v="Delivered"/>
    <s v="TRK51794806"/>
    <n v="7"/>
    <s v="SAVE10"/>
    <s v="Facebook"/>
    <n v="2007.18"/>
    <n v="2007.1799999999998"/>
    <s v="Correct"/>
    <x v="4"/>
    <n v="2023"/>
    <s v="Q2"/>
    <s v="Monitor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s v="Instagram"/>
    <n v="208.95"/>
    <n v="208.95000000000002"/>
    <s v="Correct"/>
    <x v="3"/>
    <n v="2023"/>
    <s v="Q4"/>
    <s v="Chair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s v="Email"/>
    <n v="547.32000000000005"/>
    <n v="547.32000000000005"/>
    <s v="Correct"/>
    <x v="7"/>
    <n v="2023"/>
    <s v="Q4"/>
    <s v="Phone"/>
  </r>
  <r>
    <s v="ORD200982"/>
    <d v="2024-09-06T00:00:00"/>
    <s v="C64935"/>
    <x v="0"/>
    <n v="1"/>
    <n v="304.11"/>
    <s v="707 Main St"/>
    <x v="3"/>
    <s v="Shipped"/>
    <s v="TRK42969065"/>
    <n v="2"/>
    <s v="SAVE10"/>
    <s v="Referral"/>
    <n v="304.11"/>
    <n v="304.11"/>
    <s v="Correct"/>
    <x v="11"/>
    <n v="2024"/>
    <s v="Q3"/>
    <s v="Monitor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s v="Email"/>
    <n v="1185.1199999999999"/>
    <n v="1185.1199999999999"/>
    <s v="Correct"/>
    <x v="7"/>
    <n v="2024"/>
    <s v="Q4"/>
    <s v="Monitor"/>
  </r>
  <r>
    <s v="ORD200984"/>
    <d v="2025-02-28T00:00:00"/>
    <s v="C44176"/>
    <x v="6"/>
    <n v="1"/>
    <n v="77.64"/>
    <s v="706 Main St"/>
    <x v="2"/>
    <s v="Shipped"/>
    <s v="TRK68704764"/>
    <n v="1"/>
    <s v="FREESHIP"/>
    <s v="Facebook"/>
    <n v="77.64"/>
    <n v="77.64"/>
    <s v="Correct"/>
    <x v="2"/>
    <n v="2025"/>
    <s v="Q1"/>
    <s v="Desk"/>
  </r>
  <r>
    <s v="ORD200985"/>
    <d v="2024-07-20T00:00:00"/>
    <s v="C92788"/>
    <x v="6"/>
    <n v="1"/>
    <n v="243.71"/>
    <s v="948 Main St"/>
    <x v="3"/>
    <s v="Delivered"/>
    <s v="TRK83835361"/>
    <n v="6"/>
    <s v="SAVE10"/>
    <s v="Google"/>
    <n v="243.71"/>
    <n v="243.71"/>
    <s v="Correct"/>
    <x v="10"/>
    <n v="2024"/>
    <s v="Q3"/>
    <s v="Desk"/>
  </r>
  <r>
    <s v="ORD200986"/>
    <d v="2024-09-07T00:00:00"/>
    <s v="C69213"/>
    <x v="5"/>
    <n v="4"/>
    <n v="644.96"/>
    <s v="533 Main St"/>
    <x v="2"/>
    <s v="Pending"/>
    <s v="TRK67837331"/>
    <n v="7"/>
    <s v="FREESHIP"/>
    <s v="Email"/>
    <n v="2579.84"/>
    <n v="2579.84"/>
    <s v="Correct"/>
    <x v="11"/>
    <n v="2024"/>
    <s v="Q3"/>
    <s v="Laptop"/>
  </r>
  <r>
    <s v="ORD200987"/>
    <d v="2025-06-05T00:00:00"/>
    <s v="C67387"/>
    <x v="1"/>
    <n v="5"/>
    <n v="283.73"/>
    <s v="436 Main St"/>
    <x v="3"/>
    <s v="Pending"/>
    <s v="TRK54120003"/>
    <n v="8"/>
    <s v="FREESHIP"/>
    <s v="Instagram"/>
    <n v="1418.65"/>
    <n v="1418.65"/>
    <s v="Correct"/>
    <x v="5"/>
    <n v="2025"/>
    <s v="Q2"/>
    <s v="Phone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s v="Instagram"/>
    <n v="1259.1199999999999"/>
    <n v="1259.1199999999999"/>
    <s v="Correct"/>
    <x v="2"/>
    <n v="2025"/>
    <s v="Q1"/>
    <s v="Desk"/>
  </r>
  <r>
    <s v="ORD200989"/>
    <d v="2023-03-23T00:00:00"/>
    <s v="C49995"/>
    <x v="5"/>
    <n v="4"/>
    <n v="246.11"/>
    <s v="559 Main St"/>
    <x v="2"/>
    <s v="Pending"/>
    <s v="TRK33212013"/>
    <n v="4"/>
    <s v="SAVE10"/>
    <s v="Instagram"/>
    <n v="984.44"/>
    <n v="984.44"/>
    <s v="Correct"/>
    <x v="9"/>
    <n v="2023"/>
    <s v="Q1"/>
    <s v="Laptop"/>
  </r>
  <r>
    <s v="ORD200990"/>
    <d v="2023-11-19T00:00:00"/>
    <s v="C52313"/>
    <x v="1"/>
    <n v="2"/>
    <n v="418.26"/>
    <s v="913 Main St"/>
    <x v="0"/>
    <s v="Pending"/>
    <s v="TRK67368559"/>
    <n v="2"/>
    <s v="SAVE10"/>
    <s v="Google"/>
    <n v="836.52"/>
    <n v="836.52"/>
    <s v="Correct"/>
    <x v="7"/>
    <n v="2023"/>
    <s v="Q4"/>
    <s v="Phone"/>
  </r>
  <r>
    <s v="ORD200991"/>
    <d v="2024-05-09T00:00:00"/>
    <s v="C10211"/>
    <x v="6"/>
    <n v="5"/>
    <n v="127.18"/>
    <s v="598 Main St"/>
    <x v="0"/>
    <s v="Cancelled"/>
    <s v="TRK68938335"/>
    <n v="10"/>
    <s v="FREESHIP"/>
    <s v="Google"/>
    <n v="635.90000000000009"/>
    <n v="635.90000000000009"/>
    <s v="Correct"/>
    <x v="4"/>
    <n v="2024"/>
    <s v="Q2"/>
    <s v="Desk"/>
  </r>
  <r>
    <s v="ORD200992"/>
    <d v="2024-08-27T00:00:00"/>
    <s v="C97907"/>
    <x v="4"/>
    <n v="3"/>
    <n v="586.21"/>
    <s v="933 Main St"/>
    <x v="3"/>
    <s v="Pending"/>
    <s v="TRK89637569"/>
    <n v="4"/>
    <s v="WINTER15"/>
    <s v="Referral"/>
    <n v="1758.63"/>
    <n v="1758.63"/>
    <s v="Correct"/>
    <x v="1"/>
    <n v="2024"/>
    <s v="Q3"/>
    <s v="Printer"/>
  </r>
  <r>
    <s v="ORD200993"/>
    <d v="2024-04-06T00:00:00"/>
    <s v="C61384"/>
    <x v="0"/>
    <n v="3"/>
    <n v="267.45"/>
    <s v="576 Main St"/>
    <x v="3"/>
    <s v="Delivered"/>
    <s v="TRK33323210"/>
    <n v="5"/>
    <s v="WINTER15"/>
    <s v="Instagram"/>
    <n v="802.34999999999991"/>
    <n v="802.34999999999991"/>
    <s v="Correct"/>
    <x v="6"/>
    <n v="2024"/>
    <s v="Q2"/>
    <s v="Monitor"/>
  </r>
  <r>
    <s v="ORD200994"/>
    <d v="2024-06-27T00:00:00"/>
    <s v="C27613"/>
    <x v="2"/>
    <n v="4"/>
    <n v="615.65"/>
    <s v="971 Main St"/>
    <x v="0"/>
    <s v="Delivered"/>
    <s v="TRK63701318"/>
    <n v="9"/>
    <s v="WINTER15"/>
    <s v="Google"/>
    <n v="2462.6"/>
    <n v="2462.6"/>
    <s v="Correct"/>
    <x v="5"/>
    <n v="2024"/>
    <s v="Q2"/>
    <s v="Tablet"/>
  </r>
  <r>
    <s v="ORD200995"/>
    <d v="2023-11-18T00:00:00"/>
    <s v="C99271"/>
    <x v="0"/>
    <n v="2"/>
    <n v="113.29"/>
    <s v="959 Main St"/>
    <x v="4"/>
    <s v="Pending"/>
    <s v="TRK87832736"/>
    <n v="5"/>
    <s v="SAVE10"/>
    <s v="Facebook"/>
    <n v="226.58"/>
    <n v="226.58"/>
    <s v="Correct"/>
    <x v="7"/>
    <n v="2023"/>
    <s v="Q4"/>
    <s v="Monitor"/>
  </r>
  <r>
    <s v="ORD200996"/>
    <d v="2024-04-28T00:00:00"/>
    <s v="C28648"/>
    <x v="0"/>
    <n v="4"/>
    <n v="473.86"/>
    <s v="101 Main St"/>
    <x v="0"/>
    <s v="Delivered"/>
    <s v="TRK92240846"/>
    <n v="7"/>
    <s v="SAVE10"/>
    <s v="Facebook"/>
    <n v="1895.44"/>
    <n v="1895.44"/>
    <s v="Correct"/>
    <x v="6"/>
    <n v="2024"/>
    <s v="Q2"/>
    <s v="Monitor"/>
  </r>
  <r>
    <s v="ORD200997"/>
    <d v="2023-11-27T00:00:00"/>
    <s v="C26210"/>
    <x v="5"/>
    <n v="3"/>
    <n v="444.75"/>
    <s v="805 Main St"/>
    <x v="4"/>
    <s v="Delivered"/>
    <s v="TRK40616861"/>
    <n v="6"/>
    <s v="SAVE10"/>
    <s v="Facebook"/>
    <n v="1334.25"/>
    <n v="1334.25"/>
    <s v="Correct"/>
    <x v="7"/>
    <n v="2023"/>
    <s v="Q4"/>
    <s v="Laptop"/>
  </r>
  <r>
    <s v="ORD200998"/>
    <d v="2023-05-19T00:00:00"/>
    <s v="C90350"/>
    <x v="1"/>
    <n v="2"/>
    <n v="183.67"/>
    <s v="783 Main St"/>
    <x v="0"/>
    <s v="Cancelled"/>
    <s v="TRK22824230"/>
    <n v="6"/>
    <s v="SAVE10"/>
    <s v="Google"/>
    <n v="367.34"/>
    <n v="367.34"/>
    <s v="Correct"/>
    <x v="4"/>
    <n v="2023"/>
    <s v="Q2"/>
    <s v="Phone"/>
  </r>
  <r>
    <s v="ORD200999"/>
    <d v="2023-12-24T00:00:00"/>
    <s v="C61957"/>
    <x v="4"/>
    <n v="1"/>
    <n v="483.38"/>
    <s v="652 Main St"/>
    <x v="4"/>
    <s v="Pending"/>
    <s v="TRK43983841"/>
    <n v="6"/>
    <s v="FREESHIP"/>
    <s v="Google"/>
    <n v="483.38"/>
    <n v="483.38"/>
    <s v="Correct"/>
    <x v="8"/>
    <n v="2023"/>
    <s v="Q4"/>
    <s v="Printer"/>
  </r>
  <r>
    <s v="ORD201000"/>
    <d v="2023-06-21T00:00:00"/>
    <s v="C90132"/>
    <x v="4"/>
    <n v="5"/>
    <n v="260.93"/>
    <s v="582 Main St"/>
    <x v="1"/>
    <s v="Delivered"/>
    <s v="TRK52664903"/>
    <n v="9"/>
    <s v="SAVE10"/>
    <s v="Email"/>
    <n v="1304.6500000000001"/>
    <n v="1304.6500000000001"/>
    <s v="Correct"/>
    <x v="5"/>
    <n v="2023"/>
    <s v="Q2"/>
    <s v="Printer"/>
  </r>
  <r>
    <s v="ORD201001"/>
    <d v="2023-12-08T00:00:00"/>
    <s v="C31371"/>
    <x v="4"/>
    <n v="2"/>
    <n v="253.68"/>
    <s v="122 Main St"/>
    <x v="3"/>
    <s v="Shipped"/>
    <s v="TRK19554327"/>
    <n v="6"/>
    <s v="no coupoun"/>
    <s v="Referral"/>
    <n v="507.36"/>
    <n v="507.36"/>
    <s v="Correct"/>
    <x v="8"/>
    <n v="2023"/>
    <s v="Q4"/>
    <s v="Printer"/>
  </r>
  <r>
    <s v="ORD201002"/>
    <d v="2025-06-19T00:00:00"/>
    <s v="C83911"/>
    <x v="2"/>
    <n v="4"/>
    <n v="699.88"/>
    <s v="944 Main St"/>
    <x v="4"/>
    <s v="Pending"/>
    <s v="TRK33188106"/>
    <n v="5"/>
    <s v="WINTER15"/>
    <s v="Referral"/>
    <n v="2799.52"/>
    <n v="2799.52"/>
    <s v="Correct"/>
    <x v="5"/>
    <n v="2025"/>
    <s v="Q2"/>
    <s v="Tablet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s v="Google"/>
    <n v="1599.85"/>
    <n v="1599.8500000000001"/>
    <s v="Correct"/>
    <x v="0"/>
    <n v="2023"/>
    <s v="Q1"/>
    <s v="Printer"/>
  </r>
  <r>
    <s v="ORD201004"/>
    <d v="2025-06-09T00:00:00"/>
    <s v="C87529"/>
    <x v="3"/>
    <n v="4"/>
    <n v="246.91"/>
    <s v="296 Main St"/>
    <x v="1"/>
    <s v="Pending"/>
    <s v="TRK15739505"/>
    <n v="8"/>
    <s v="SAVE10"/>
    <s v="Referral"/>
    <n v="987.64"/>
    <n v="987.64"/>
    <s v="Correct"/>
    <x v="5"/>
    <n v="2025"/>
    <s v="Q2"/>
    <s v="Chair"/>
  </r>
  <r>
    <s v="ORD201005"/>
    <d v="2023-03-02T00:00:00"/>
    <s v="C38065"/>
    <x v="4"/>
    <n v="3"/>
    <n v="392.85"/>
    <s v="426 Main St"/>
    <x v="2"/>
    <s v="Returned"/>
    <s v="TRK11448295"/>
    <n v="6"/>
    <s v="no coupoun"/>
    <s v="Google"/>
    <n v="1178.55"/>
    <n v="1178.5500000000002"/>
    <s v="Correct"/>
    <x v="9"/>
    <n v="2023"/>
    <s v="Q1"/>
    <s v="Printer"/>
  </r>
  <r>
    <s v="ORD201006"/>
    <d v="2024-05-27T00:00:00"/>
    <s v="C27435"/>
    <x v="2"/>
    <n v="5"/>
    <n v="420.98"/>
    <s v="860 Main St"/>
    <x v="4"/>
    <s v="Delivered"/>
    <s v="TRK91458233"/>
    <n v="7"/>
    <s v="SAVE10"/>
    <s v="Facebook"/>
    <n v="2104.9"/>
    <n v="2104.9"/>
    <s v="Correct"/>
    <x v="4"/>
    <n v="2024"/>
    <s v="Q2"/>
    <s v="Tablet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s v="Facebook"/>
    <n v="146.52000000000001"/>
    <n v="146.52000000000001"/>
    <s v="Correct"/>
    <x v="9"/>
    <n v="2024"/>
    <s v="Q1"/>
    <s v="Monitor"/>
  </r>
  <r>
    <s v="ORD201008"/>
    <d v="2023-01-13T00:00:00"/>
    <s v="C62557"/>
    <x v="0"/>
    <n v="3"/>
    <n v="410.88"/>
    <s v="257 Main St"/>
    <x v="4"/>
    <s v="Delivered"/>
    <s v="TRK12742366"/>
    <n v="8"/>
    <s v="FREESHIP"/>
    <s v="Instagram"/>
    <n v="1232.6400000000001"/>
    <n v="1232.6399999999999"/>
    <s v="Correct"/>
    <x v="0"/>
    <n v="2023"/>
    <s v="Q1"/>
    <s v="Monitor"/>
  </r>
  <r>
    <s v="ORD201009"/>
    <d v="2023-09-02T00:00:00"/>
    <s v="C54494"/>
    <x v="2"/>
    <n v="2"/>
    <n v="176.46"/>
    <s v="696 Main St"/>
    <x v="2"/>
    <s v="Delivered"/>
    <s v="TRK95958645"/>
    <n v="2"/>
    <s v="FREESHIP"/>
    <s v="Email"/>
    <n v="352.92"/>
    <n v="352.92"/>
    <s v="Correct"/>
    <x v="11"/>
    <n v="2023"/>
    <s v="Q3"/>
    <s v="Tablet"/>
  </r>
  <r>
    <s v="ORD201010"/>
    <d v="2023-03-31T00:00:00"/>
    <s v="C33729"/>
    <x v="0"/>
    <n v="3"/>
    <n v="659.57"/>
    <s v="533 Main St"/>
    <x v="2"/>
    <s v="Cancelled"/>
    <s v="TRK35649833"/>
    <n v="6"/>
    <s v="SAVE10"/>
    <s v="Email"/>
    <n v="1978.71"/>
    <n v="1978.71"/>
    <s v="Correct"/>
    <x v="9"/>
    <n v="2023"/>
    <s v="Q1"/>
    <s v="Monitor"/>
  </r>
  <r>
    <s v="ORD201011"/>
    <d v="2024-12-03T00:00:00"/>
    <s v="C47823"/>
    <x v="1"/>
    <n v="2"/>
    <n v="478.36"/>
    <s v="654 Main St"/>
    <x v="1"/>
    <s v="Shipped"/>
    <s v="TRK22271097"/>
    <n v="3"/>
    <s v="no coupoun"/>
    <s v="Google"/>
    <n v="956.72"/>
    <n v="956.72"/>
    <s v="Correct"/>
    <x v="8"/>
    <n v="2024"/>
    <s v="Q4"/>
    <s v="Phone"/>
  </r>
  <r>
    <s v="ORD201012"/>
    <d v="2024-12-03T00:00:00"/>
    <s v="C84570"/>
    <x v="4"/>
    <n v="4"/>
    <n v="30.05"/>
    <s v="301 Main St"/>
    <x v="1"/>
    <s v="Returned"/>
    <s v="TRK12551882"/>
    <n v="6"/>
    <s v="no coupoun"/>
    <s v="Facebook"/>
    <n v="120.2"/>
    <n v="120.2"/>
    <s v="Correct"/>
    <x v="8"/>
    <n v="2024"/>
    <s v="Q4"/>
    <s v="Printer"/>
  </r>
  <r>
    <s v="ORD201013"/>
    <d v="2025-04-26T00:00:00"/>
    <s v="C91123"/>
    <x v="5"/>
    <n v="4"/>
    <n v="300.56"/>
    <s v="842 Main St"/>
    <x v="4"/>
    <s v="Cancelled"/>
    <s v="TRK49568409"/>
    <n v="9"/>
    <s v="FREESHIP"/>
    <s v="Facebook"/>
    <n v="1202.24"/>
    <n v="1202.24"/>
    <s v="Correct"/>
    <x v="6"/>
    <n v="2025"/>
    <s v="Q2"/>
    <s v="Laptop"/>
  </r>
  <r>
    <s v="ORD201014"/>
    <d v="2024-02-04T00:00:00"/>
    <s v="C92548"/>
    <x v="2"/>
    <n v="5"/>
    <n v="226.45"/>
    <s v="160 Main St"/>
    <x v="0"/>
    <s v="Returned"/>
    <s v="TRK21682892"/>
    <n v="6"/>
    <s v="FREESHIP"/>
    <s v="Email"/>
    <n v="1132.25"/>
    <n v="1132.25"/>
    <s v="Correct"/>
    <x v="2"/>
    <n v="2024"/>
    <s v="Q1"/>
    <s v="Tablet"/>
  </r>
  <r>
    <s v="ORD201015"/>
    <d v="2024-01-26T00:00:00"/>
    <s v="C97454"/>
    <x v="4"/>
    <n v="2"/>
    <n v="349.4"/>
    <s v="892 Main St"/>
    <x v="1"/>
    <s v="Shipped"/>
    <s v="TRK73249329"/>
    <n v="2"/>
    <s v="SAVE10"/>
    <s v="Instagram"/>
    <n v="698.8"/>
    <n v="698.8"/>
    <s v="Correct"/>
    <x v="0"/>
    <n v="2024"/>
    <s v="Q1"/>
    <s v="Printer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s v="Email"/>
    <n v="1343.9"/>
    <n v="1343.8999999999999"/>
    <s v="Correct"/>
    <x v="8"/>
    <n v="2023"/>
    <s v="Q4"/>
    <s v="Tablet"/>
  </r>
  <r>
    <s v="ORD201017"/>
    <d v="2024-08-25T00:00:00"/>
    <s v="C51694"/>
    <x v="3"/>
    <n v="2"/>
    <n v="680.85"/>
    <s v="953 Main St"/>
    <x v="3"/>
    <s v="Delivered"/>
    <s v="TRK83122112"/>
    <n v="6"/>
    <s v="FREESHIP"/>
    <s v="Referral"/>
    <n v="1361.7"/>
    <n v="1361.7"/>
    <s v="Correct"/>
    <x v="1"/>
    <n v="2024"/>
    <s v="Q3"/>
    <s v="Chair"/>
  </r>
  <r>
    <s v="ORD201018"/>
    <d v="2023-07-08T00:00:00"/>
    <s v="C77499"/>
    <x v="5"/>
    <n v="3"/>
    <n v="182.48"/>
    <s v="209 Main St"/>
    <x v="4"/>
    <s v="Delivered"/>
    <s v="TRK20703086"/>
    <n v="3"/>
    <s v="no coupoun"/>
    <s v="Instagram"/>
    <n v="547.43999999999994"/>
    <n v="547.43999999999994"/>
    <s v="Correct"/>
    <x v="10"/>
    <n v="2023"/>
    <s v="Q3"/>
    <s v="Laptop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s v="Referral"/>
    <n v="277.08999999999997"/>
    <n v="277.08999999999997"/>
    <s v="Correct"/>
    <x v="6"/>
    <n v="2024"/>
    <s v="Q2"/>
    <s v="Desk"/>
  </r>
  <r>
    <s v="ORD201020"/>
    <d v="2024-04-22T00:00:00"/>
    <s v="C50211"/>
    <x v="2"/>
    <n v="2"/>
    <n v="26.5"/>
    <s v="312 Main St"/>
    <x v="1"/>
    <s v="Delivered"/>
    <s v="TRK47787981"/>
    <n v="3"/>
    <s v="SAVE10"/>
    <s v="Instagram"/>
    <n v="53"/>
    <n v="53"/>
    <s v="Correct"/>
    <x v="6"/>
    <n v="2024"/>
    <s v="Q2"/>
    <s v="Tablet"/>
  </r>
  <r>
    <s v="ORD201021"/>
    <d v="2023-10-23T00:00:00"/>
    <s v="C74519"/>
    <x v="1"/>
    <n v="3"/>
    <n v="315.27"/>
    <s v="309 Main St"/>
    <x v="2"/>
    <s v="Cancelled"/>
    <s v="TRK97351945"/>
    <n v="4"/>
    <s v="SAVE10"/>
    <s v="Email"/>
    <n v="945.81"/>
    <n v="945.81"/>
    <s v="Correct"/>
    <x v="3"/>
    <n v="2023"/>
    <s v="Q4"/>
    <s v="Phone"/>
  </r>
  <r>
    <s v="ORD201022"/>
    <d v="2025-02-24T00:00:00"/>
    <s v="C19071"/>
    <x v="2"/>
    <n v="3"/>
    <n v="450.98"/>
    <s v="396 Main St"/>
    <x v="2"/>
    <s v="Shipped"/>
    <s v="TRK66537096"/>
    <n v="8"/>
    <s v="SAVE10"/>
    <s v="Referral"/>
    <n v="1352.94"/>
    <n v="1352.94"/>
    <s v="Correct"/>
    <x v="2"/>
    <n v="2025"/>
    <s v="Q1"/>
    <s v="Tablet"/>
  </r>
  <r>
    <s v="ORD201023"/>
    <d v="2024-09-23T00:00:00"/>
    <s v="C65251"/>
    <x v="5"/>
    <n v="5"/>
    <n v="233.67"/>
    <s v="291 Main St"/>
    <x v="4"/>
    <s v="Shipped"/>
    <s v="TRK32059025"/>
    <n v="10"/>
    <s v="no coupoun"/>
    <s v="Referral"/>
    <n v="1168.3499999999999"/>
    <n v="1168.3499999999999"/>
    <s v="Correct"/>
    <x v="11"/>
    <n v="2024"/>
    <s v="Q3"/>
    <s v="Laptop"/>
  </r>
  <r>
    <s v="ORD201024"/>
    <d v="2024-01-29T00:00:00"/>
    <s v="C90612"/>
    <x v="3"/>
    <n v="3"/>
    <n v="367.75"/>
    <s v="731 Main St"/>
    <x v="4"/>
    <s v="Pending"/>
    <s v="TRK93022878"/>
    <n v="7"/>
    <s v="FREESHIP"/>
    <s v="Facebook"/>
    <n v="1103.25"/>
    <n v="1103.25"/>
    <s v="Correct"/>
    <x v="0"/>
    <n v="2024"/>
    <s v="Q1"/>
    <s v="Chair"/>
  </r>
  <r>
    <s v="ORD201025"/>
    <d v="2025-05-17T00:00:00"/>
    <s v="C28406"/>
    <x v="3"/>
    <n v="1"/>
    <n v="23.53"/>
    <s v="174 Main St"/>
    <x v="3"/>
    <s v="Delivered"/>
    <s v="TRK98841457"/>
    <n v="2"/>
    <s v="FREESHIP"/>
    <s v="Instagram"/>
    <n v="23.53"/>
    <n v="23.53"/>
    <s v="Correct"/>
    <x v="4"/>
    <n v="2025"/>
    <s v="Q2"/>
    <s v="Chair"/>
  </r>
  <r>
    <s v="ORD201026"/>
    <d v="2023-05-01T00:00:00"/>
    <s v="C55454"/>
    <x v="0"/>
    <n v="1"/>
    <n v="677.48"/>
    <s v="807 Main St"/>
    <x v="1"/>
    <s v="Delivered"/>
    <s v="TRK13281370"/>
    <n v="1"/>
    <s v="WINTER15"/>
    <s v="Facebook"/>
    <n v="677.48"/>
    <n v="677.48"/>
    <s v="Correct"/>
    <x v="4"/>
    <n v="2023"/>
    <s v="Q2"/>
    <s v="Monitor"/>
  </r>
  <r>
    <s v="ORD201027"/>
    <d v="2024-05-21T00:00:00"/>
    <s v="C93467"/>
    <x v="5"/>
    <n v="4"/>
    <n v="554.83000000000004"/>
    <s v="983 Main St"/>
    <x v="4"/>
    <s v="Returned"/>
    <s v="TRK77377373"/>
    <n v="6"/>
    <s v="no coupoun"/>
    <s v="Google"/>
    <n v="2219.3200000000002"/>
    <n v="2219.3200000000002"/>
    <s v="Correct"/>
    <x v="4"/>
    <n v="2024"/>
    <s v="Q2"/>
    <s v="Laptop"/>
  </r>
  <r>
    <s v="ORD201028"/>
    <d v="2023-02-17T00:00:00"/>
    <s v="C60042"/>
    <x v="6"/>
    <n v="4"/>
    <n v="440.31"/>
    <s v="610 Main St"/>
    <x v="4"/>
    <s v="Cancelled"/>
    <s v="TRK84651559"/>
    <n v="6"/>
    <s v="no coupoun"/>
    <s v="Instagram"/>
    <n v="1761.24"/>
    <n v="1761.24"/>
    <s v="Correct"/>
    <x v="2"/>
    <n v="2023"/>
    <s v="Q1"/>
    <s v="Desk"/>
  </r>
  <r>
    <s v="ORD201029"/>
    <d v="2025-03-01T00:00:00"/>
    <s v="C44733"/>
    <x v="6"/>
    <n v="1"/>
    <n v="87.06"/>
    <s v="851 Main St"/>
    <x v="2"/>
    <s v="Shipped"/>
    <s v="TRK41500198"/>
    <n v="4"/>
    <s v="FREESHIP"/>
    <s v="Email"/>
    <n v="87.06"/>
    <n v="87.06"/>
    <s v="Correct"/>
    <x v="9"/>
    <n v="2025"/>
    <s v="Q1"/>
    <s v="Desk"/>
  </r>
  <r>
    <s v="ORD201030"/>
    <d v="2023-10-02T00:00:00"/>
    <s v="C61773"/>
    <x v="1"/>
    <n v="4"/>
    <n v="245.28"/>
    <s v="176 Main St"/>
    <x v="2"/>
    <s v="Delivered"/>
    <s v="TRK12936357"/>
    <n v="6"/>
    <s v="WINTER15"/>
    <s v="Email"/>
    <n v="981.12"/>
    <n v="981.12"/>
    <s v="Correct"/>
    <x v="3"/>
    <n v="2023"/>
    <s v="Q4"/>
    <s v="Phone"/>
  </r>
  <r>
    <s v="ORD201031"/>
    <d v="2023-02-28T00:00:00"/>
    <s v="C59183"/>
    <x v="1"/>
    <n v="5"/>
    <n v="664.51"/>
    <s v="136 Main St"/>
    <x v="0"/>
    <s v="Pending"/>
    <s v="TRK18129706"/>
    <n v="8"/>
    <s v="SAVE10"/>
    <s v="Email"/>
    <n v="3322.55"/>
    <n v="3322.55"/>
    <s v="Correct"/>
    <x v="2"/>
    <n v="2023"/>
    <s v="Q1"/>
    <s v="Phone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s v="Referral"/>
    <n v="618.67999999999995"/>
    <n v="618.67999999999995"/>
    <s v="Correct"/>
    <x v="6"/>
    <n v="2023"/>
    <s v="Q2"/>
    <s v="Chair"/>
  </r>
  <r>
    <s v="ORD201033"/>
    <d v="2024-12-24T00:00:00"/>
    <s v="C20338"/>
    <x v="0"/>
    <n v="1"/>
    <n v="370.85"/>
    <s v="331 Main St"/>
    <x v="3"/>
    <s v="Delivered"/>
    <s v="TRK30654048"/>
    <n v="2"/>
    <s v="FREESHIP"/>
    <s v="Referral"/>
    <n v="370.85"/>
    <n v="370.85"/>
    <s v="Correct"/>
    <x v="8"/>
    <n v="2024"/>
    <s v="Q4"/>
    <s v="Monitor"/>
  </r>
  <r>
    <s v="ORD201034"/>
    <d v="2024-06-16T00:00:00"/>
    <s v="C84524"/>
    <x v="4"/>
    <n v="4"/>
    <n v="517.98"/>
    <s v="766 Main St"/>
    <x v="4"/>
    <s v="Cancelled"/>
    <s v="TRK76751888"/>
    <n v="8"/>
    <s v="FREESHIP"/>
    <s v="Facebook"/>
    <n v="2071.92"/>
    <n v="2071.92"/>
    <s v="Correct"/>
    <x v="5"/>
    <n v="2024"/>
    <s v="Q2"/>
    <s v="Printer"/>
  </r>
  <r>
    <s v="ORD201035"/>
    <d v="2023-11-12T00:00:00"/>
    <s v="C70315"/>
    <x v="5"/>
    <n v="4"/>
    <n v="506.11"/>
    <s v="911 Main St"/>
    <x v="4"/>
    <s v="Cancelled"/>
    <s v="TRK97732085"/>
    <n v="5"/>
    <s v="no coupoun"/>
    <s v="Referral"/>
    <n v="2024.44"/>
    <n v="2024.44"/>
    <s v="Correct"/>
    <x v="7"/>
    <n v="2023"/>
    <s v="Q4"/>
    <s v="Laptop"/>
  </r>
  <r>
    <s v="ORD201036"/>
    <d v="2024-05-31T00:00:00"/>
    <s v="C98278"/>
    <x v="1"/>
    <n v="3"/>
    <n v="413.83"/>
    <s v="552 Main St"/>
    <x v="3"/>
    <s v="Shipped"/>
    <s v="TRK49684737"/>
    <n v="8"/>
    <s v="SAVE10"/>
    <s v="Facebook"/>
    <n v="1241.49"/>
    <n v="1241.49"/>
    <s v="Correct"/>
    <x v="4"/>
    <n v="2024"/>
    <s v="Q2"/>
    <s v="Phone"/>
  </r>
  <r>
    <s v="ORD201037"/>
    <d v="2023-12-13T00:00:00"/>
    <s v="C32347"/>
    <x v="4"/>
    <n v="1"/>
    <n v="249.81"/>
    <s v="408 Main St"/>
    <x v="4"/>
    <s v="Pending"/>
    <s v="TRK54073964"/>
    <n v="1"/>
    <s v="SAVE10"/>
    <s v="Google"/>
    <n v="249.81"/>
    <n v="249.81"/>
    <s v="Correct"/>
    <x v="8"/>
    <n v="2023"/>
    <s v="Q4"/>
    <s v="Printer"/>
  </r>
  <r>
    <s v="ORD201038"/>
    <d v="2025-03-15T00:00:00"/>
    <s v="C77961"/>
    <x v="2"/>
    <n v="3"/>
    <n v="362.53"/>
    <s v="422 Main St"/>
    <x v="0"/>
    <s v="Returned"/>
    <s v="TRK28969024"/>
    <n v="5"/>
    <s v="no coupoun"/>
    <s v="Facebook"/>
    <n v="1087.5899999999999"/>
    <n v="1087.5899999999999"/>
    <s v="Correct"/>
    <x v="9"/>
    <n v="2025"/>
    <s v="Q1"/>
    <s v="Tablet"/>
  </r>
  <r>
    <s v="ORD201039"/>
    <d v="2025-06-28T00:00:00"/>
    <s v="C49137"/>
    <x v="6"/>
    <n v="2"/>
    <n v="299.23"/>
    <s v="177 Main St"/>
    <x v="2"/>
    <s v="Cancelled"/>
    <s v="TRK79362428"/>
    <n v="2"/>
    <s v="WINTER15"/>
    <s v="Instagram"/>
    <n v="598.46"/>
    <n v="598.46"/>
    <s v="Correct"/>
    <x v="5"/>
    <n v="2025"/>
    <s v="Q2"/>
    <s v="Desk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s v="Google"/>
    <n v="536.07000000000005"/>
    <n v="536.07000000000005"/>
    <s v="Correct"/>
    <x v="7"/>
    <n v="2023"/>
    <s v="Q4"/>
    <s v="Tablet"/>
  </r>
  <r>
    <s v="ORD201041"/>
    <d v="2023-02-11T00:00:00"/>
    <s v="C21167"/>
    <x v="0"/>
    <n v="4"/>
    <n v="558.9"/>
    <s v="948 Main St"/>
    <x v="3"/>
    <s v="Shipped"/>
    <s v="TRK97737564"/>
    <n v="9"/>
    <s v="WINTER15"/>
    <s v="Google"/>
    <n v="2235.6"/>
    <n v="2235.6"/>
    <s v="Correct"/>
    <x v="2"/>
    <n v="2023"/>
    <s v="Q1"/>
    <s v="Monitor"/>
  </r>
  <r>
    <s v="ORD201042"/>
    <d v="2024-12-09T00:00:00"/>
    <s v="C59724"/>
    <x v="2"/>
    <n v="2"/>
    <n v="409.75"/>
    <s v="414 Main St"/>
    <x v="0"/>
    <s v="Shipped"/>
    <s v="TRK67878272"/>
    <n v="2"/>
    <s v="WINTER15"/>
    <s v="Facebook"/>
    <n v="819.5"/>
    <n v="819.5"/>
    <s v="Correct"/>
    <x v="8"/>
    <n v="2024"/>
    <s v="Q4"/>
    <s v="Tablet"/>
  </r>
  <r>
    <s v="ORD201043"/>
    <d v="2025-01-11T00:00:00"/>
    <s v="C43965"/>
    <x v="2"/>
    <n v="2"/>
    <n v="179.96"/>
    <s v="675 Main St"/>
    <x v="3"/>
    <s v="Shipped"/>
    <s v="TRK94346739"/>
    <n v="5"/>
    <s v="no coupoun"/>
    <s v="Instagram"/>
    <n v="359.92"/>
    <n v="359.92"/>
    <s v="Correct"/>
    <x v="0"/>
    <n v="2025"/>
    <s v="Q1"/>
    <s v="Tablet"/>
  </r>
  <r>
    <s v="ORD201044"/>
    <d v="2025-06-22T00:00:00"/>
    <s v="C63018"/>
    <x v="4"/>
    <n v="1"/>
    <n v="38.49"/>
    <s v="215 Main St"/>
    <x v="2"/>
    <s v="Delivered"/>
    <s v="TRK52335337"/>
    <n v="4"/>
    <s v="FREESHIP"/>
    <s v="Referral"/>
    <n v="38.49"/>
    <n v="38.49"/>
    <s v="Correct"/>
    <x v="5"/>
    <n v="2025"/>
    <s v="Q2"/>
    <s v="Printer"/>
  </r>
  <r>
    <s v="ORD201045"/>
    <d v="2024-09-20T00:00:00"/>
    <s v="C11893"/>
    <x v="5"/>
    <n v="5"/>
    <n v="316.39999999999998"/>
    <s v="671 Main St"/>
    <x v="3"/>
    <s v="Returned"/>
    <s v="TRK72012758"/>
    <n v="7"/>
    <s v="no coupoun"/>
    <s v="Email"/>
    <n v="1582"/>
    <n v="1582"/>
    <s v="Correct"/>
    <x v="11"/>
    <n v="2024"/>
    <s v="Q3"/>
    <s v="Laptop"/>
  </r>
  <r>
    <s v="ORD201046"/>
    <d v="2024-10-07T00:00:00"/>
    <s v="C85421"/>
    <x v="2"/>
    <n v="3"/>
    <n v="547.15"/>
    <s v="466 Main St"/>
    <x v="1"/>
    <s v="Shipped"/>
    <s v="TRK16524006"/>
    <n v="4"/>
    <s v="WINTER15"/>
    <s v="Instagram"/>
    <n v="1641.45"/>
    <n v="1641.4499999999998"/>
    <s v="Correct"/>
    <x v="3"/>
    <n v="2024"/>
    <s v="Q4"/>
    <s v="Tablet"/>
  </r>
  <r>
    <s v="ORD201047"/>
    <d v="2023-06-23T00:00:00"/>
    <s v="C81726"/>
    <x v="3"/>
    <n v="4"/>
    <n v="540.34"/>
    <s v="394 Main St"/>
    <x v="3"/>
    <s v="Shipped"/>
    <s v="TRK69872994"/>
    <n v="6"/>
    <s v="WINTER15"/>
    <s v="Referral"/>
    <n v="2161.36"/>
    <n v="2161.36"/>
    <s v="Correct"/>
    <x v="5"/>
    <n v="2023"/>
    <s v="Q2"/>
    <s v="Chair"/>
  </r>
  <r>
    <s v="ORD201048"/>
    <d v="2024-09-09T00:00:00"/>
    <s v="C57601"/>
    <x v="0"/>
    <n v="4"/>
    <n v="73.650000000000006"/>
    <s v="889 Main St"/>
    <x v="0"/>
    <s v="Shipped"/>
    <s v="TRK21153699"/>
    <n v="9"/>
    <s v="no coupoun"/>
    <s v="Google"/>
    <n v="294.60000000000002"/>
    <n v="294.60000000000002"/>
    <s v="Correct"/>
    <x v="11"/>
    <n v="2024"/>
    <s v="Q3"/>
    <s v="Monitor"/>
  </r>
  <r>
    <s v="ORD201049"/>
    <d v="2024-07-18T00:00:00"/>
    <s v="C60575"/>
    <x v="6"/>
    <n v="5"/>
    <n v="391.86"/>
    <s v="587 Main St"/>
    <x v="2"/>
    <s v="Shipped"/>
    <s v="TRK44468232"/>
    <n v="6"/>
    <s v="no coupoun"/>
    <s v="Instagram"/>
    <n v="1959.3"/>
    <n v="1959.3000000000002"/>
    <s v="Correct"/>
    <x v="10"/>
    <n v="2024"/>
    <s v="Q3"/>
    <s v="Desk"/>
  </r>
  <r>
    <s v="ORD201050"/>
    <d v="2023-08-20T00:00:00"/>
    <s v="C70659"/>
    <x v="5"/>
    <n v="5"/>
    <n v="69.7"/>
    <s v="722 Main St"/>
    <x v="1"/>
    <s v="Returned"/>
    <s v="TRK49663597"/>
    <n v="9"/>
    <s v="no coupoun"/>
    <s v="Instagram"/>
    <n v="348.5"/>
    <n v="348.5"/>
    <s v="Correct"/>
    <x v="1"/>
    <n v="2023"/>
    <s v="Q3"/>
    <s v="Laptop"/>
  </r>
  <r>
    <s v="ORD201051"/>
    <d v="2025-03-05T00:00:00"/>
    <s v="C35043"/>
    <x v="0"/>
    <n v="5"/>
    <n v="26.43"/>
    <s v="820 Main St"/>
    <x v="3"/>
    <s v="Shipped"/>
    <s v="TRK65097450"/>
    <n v="5"/>
    <s v="FREESHIP"/>
    <s v="Facebook"/>
    <n v="132.15"/>
    <n v="132.15"/>
    <s v="Correct"/>
    <x v="9"/>
    <n v="2025"/>
    <s v="Q1"/>
    <s v="Monitor"/>
  </r>
  <r>
    <s v="ORD201052"/>
    <d v="2023-09-11T00:00:00"/>
    <s v="C12301"/>
    <x v="2"/>
    <n v="1"/>
    <n v="531.74"/>
    <s v="493 Main St"/>
    <x v="1"/>
    <s v="Shipped"/>
    <s v="TRK25145796"/>
    <n v="1"/>
    <s v="WINTER15"/>
    <s v="Google"/>
    <n v="531.74"/>
    <n v="531.74"/>
    <s v="Correct"/>
    <x v="11"/>
    <n v="2023"/>
    <s v="Q3"/>
    <s v="Tablet"/>
  </r>
  <r>
    <s v="ORD201053"/>
    <d v="2024-09-15T00:00:00"/>
    <s v="C32798"/>
    <x v="1"/>
    <n v="2"/>
    <n v="496.62"/>
    <s v="679 Main St"/>
    <x v="1"/>
    <s v="Pending"/>
    <s v="TRK37375451"/>
    <n v="2"/>
    <s v="SAVE10"/>
    <s v="Instagram"/>
    <n v="993.24"/>
    <n v="993.24"/>
    <s v="Correct"/>
    <x v="11"/>
    <n v="2024"/>
    <s v="Q3"/>
    <s v="Phone"/>
  </r>
  <r>
    <s v="ORD201054"/>
    <d v="2023-11-29T00:00:00"/>
    <s v="C42949"/>
    <x v="4"/>
    <n v="1"/>
    <n v="660.66"/>
    <s v="447 Main St"/>
    <x v="0"/>
    <s v="Delivered"/>
    <s v="TRK46415143"/>
    <n v="3"/>
    <s v="WINTER15"/>
    <s v="Instagram"/>
    <n v="660.66"/>
    <n v="660.66"/>
    <s v="Correct"/>
    <x v="7"/>
    <n v="2023"/>
    <s v="Q4"/>
    <s v="Printer"/>
  </r>
  <r>
    <s v="ORD201055"/>
    <d v="2023-10-23T00:00:00"/>
    <s v="C10787"/>
    <x v="0"/>
    <n v="4"/>
    <n v="274.82"/>
    <s v="932 Main St"/>
    <x v="0"/>
    <s v="Delivered"/>
    <s v="TRK91512567"/>
    <n v="9"/>
    <s v="WINTER15"/>
    <s v="Email"/>
    <n v="1099.28"/>
    <n v="1099.28"/>
    <s v="Correct"/>
    <x v="3"/>
    <n v="2023"/>
    <s v="Q4"/>
    <s v="Monitor"/>
  </r>
  <r>
    <s v="ORD201056"/>
    <d v="2024-06-14T00:00:00"/>
    <s v="C26152"/>
    <x v="1"/>
    <n v="2"/>
    <n v="486.35"/>
    <s v="790 Main St"/>
    <x v="1"/>
    <s v="Pending"/>
    <s v="TRK49382455"/>
    <n v="6"/>
    <s v="SAVE10"/>
    <s v="Referral"/>
    <n v="972.7"/>
    <n v="972.7"/>
    <s v="Correct"/>
    <x v="5"/>
    <n v="2024"/>
    <s v="Q2"/>
    <s v="Phone"/>
  </r>
  <r>
    <s v="ORD201057"/>
    <d v="2024-09-24T00:00:00"/>
    <s v="C46210"/>
    <x v="5"/>
    <n v="3"/>
    <n v="428.88"/>
    <s v="535 Main St"/>
    <x v="0"/>
    <s v="Shipped"/>
    <s v="TRK81611937"/>
    <n v="3"/>
    <s v="WINTER15"/>
    <s v="Facebook"/>
    <n v="1286.6400000000001"/>
    <n v="1286.6399999999999"/>
    <s v="Correct"/>
    <x v="11"/>
    <n v="2024"/>
    <s v="Q3"/>
    <s v="Laptop"/>
  </r>
  <r>
    <s v="ORD201058"/>
    <d v="2023-09-08T00:00:00"/>
    <s v="C32943"/>
    <x v="6"/>
    <n v="2"/>
    <n v="412.14"/>
    <s v="127 Main St"/>
    <x v="2"/>
    <s v="Returned"/>
    <s v="TRK26949106"/>
    <n v="2"/>
    <s v="FREESHIP"/>
    <s v="Instagram"/>
    <n v="824.28"/>
    <n v="824.28"/>
    <s v="Correct"/>
    <x v="11"/>
    <n v="2023"/>
    <s v="Q3"/>
    <s v="Desk"/>
  </r>
  <r>
    <s v="ORD201059"/>
    <d v="2024-09-22T00:00:00"/>
    <s v="C73629"/>
    <x v="6"/>
    <n v="1"/>
    <n v="265.64"/>
    <s v="601 Main St"/>
    <x v="2"/>
    <s v="Returned"/>
    <s v="TRK11492924"/>
    <n v="3"/>
    <s v="WINTER15"/>
    <s v="Instagram"/>
    <n v="265.64"/>
    <n v="265.64"/>
    <s v="Correct"/>
    <x v="11"/>
    <n v="2024"/>
    <s v="Q3"/>
    <s v="Desk"/>
  </r>
  <r>
    <s v="ORD201060"/>
    <d v="2024-05-07T00:00:00"/>
    <s v="C38024"/>
    <x v="2"/>
    <n v="2"/>
    <n v="273.43"/>
    <s v="824 Main St"/>
    <x v="4"/>
    <s v="Shipped"/>
    <s v="TRK93370912"/>
    <n v="7"/>
    <s v="WINTER15"/>
    <s v="Referral"/>
    <n v="546.86"/>
    <n v="546.86"/>
    <s v="Correct"/>
    <x v="4"/>
    <n v="2024"/>
    <s v="Q2"/>
    <s v="Tablet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s v="Google"/>
    <n v="658.5"/>
    <n v="658.5"/>
    <s v="Correct"/>
    <x v="0"/>
    <n v="2025"/>
    <s v="Q1"/>
    <s v="Laptop"/>
  </r>
  <r>
    <s v="ORD201062"/>
    <d v="2023-08-23T00:00:00"/>
    <s v="C13501"/>
    <x v="3"/>
    <n v="5"/>
    <n v="85.52"/>
    <s v="301 Main St"/>
    <x v="3"/>
    <s v="Cancelled"/>
    <s v="TRK65149372"/>
    <n v="5"/>
    <s v="no coupoun"/>
    <s v="Facebook"/>
    <n v="427.6"/>
    <n v="427.59999999999997"/>
    <s v="Correct"/>
    <x v="1"/>
    <n v="2023"/>
    <s v="Q3"/>
    <s v="Chair"/>
  </r>
  <r>
    <s v="ORD201063"/>
    <d v="2024-06-19T00:00:00"/>
    <s v="C42108"/>
    <x v="6"/>
    <n v="2"/>
    <n v="320.68"/>
    <s v="336 Main St"/>
    <x v="2"/>
    <s v="Shipped"/>
    <s v="TRK58407918"/>
    <n v="5"/>
    <s v="FREESHIP"/>
    <s v="Referral"/>
    <n v="641.36"/>
    <n v="641.36"/>
    <s v="Correct"/>
    <x v="5"/>
    <n v="2024"/>
    <s v="Q2"/>
    <s v="Desk"/>
  </r>
  <r>
    <s v="ORD201064"/>
    <d v="2025-02-12T00:00:00"/>
    <s v="C32121"/>
    <x v="5"/>
    <n v="4"/>
    <n v="198.81"/>
    <s v="654 Main St"/>
    <x v="4"/>
    <s v="Returned"/>
    <s v="TRK96074264"/>
    <n v="9"/>
    <s v="FREESHIP"/>
    <s v="Referral"/>
    <n v="795.24"/>
    <n v="795.24"/>
    <s v="Correct"/>
    <x v="2"/>
    <n v="2025"/>
    <s v="Q1"/>
    <s v="Laptop"/>
  </r>
  <r>
    <s v="ORD201065"/>
    <d v="2023-10-30T00:00:00"/>
    <s v="C47778"/>
    <x v="4"/>
    <n v="5"/>
    <n v="666.8"/>
    <s v="488 Main St"/>
    <x v="0"/>
    <s v="Delivered"/>
    <s v="TRK79504329"/>
    <n v="7"/>
    <s v="SAVE10"/>
    <s v="Referral"/>
    <n v="3334"/>
    <n v="3334"/>
    <s v="Correct"/>
    <x v="3"/>
    <n v="2023"/>
    <s v="Q4"/>
    <s v="Printer"/>
  </r>
  <r>
    <s v="ORD201066"/>
    <d v="2023-12-20T00:00:00"/>
    <s v="C10791"/>
    <x v="6"/>
    <n v="1"/>
    <n v="355.09"/>
    <s v="674 Main St"/>
    <x v="0"/>
    <s v="Cancelled"/>
    <s v="TRK20321248"/>
    <n v="5"/>
    <s v="SAVE10"/>
    <s v="Instagram"/>
    <n v="355.09"/>
    <n v="355.09"/>
    <s v="Correct"/>
    <x v="8"/>
    <n v="2023"/>
    <s v="Q4"/>
    <s v="Desk"/>
  </r>
  <r>
    <s v="ORD201067"/>
    <d v="2023-06-06T00:00:00"/>
    <s v="C78959"/>
    <x v="1"/>
    <n v="2"/>
    <n v="316.2"/>
    <s v="384 Main St"/>
    <x v="1"/>
    <s v="Returned"/>
    <s v="TRK37426359"/>
    <n v="2"/>
    <s v="no coupoun"/>
    <s v="Instagram"/>
    <n v="632.4"/>
    <n v="632.4"/>
    <s v="Correct"/>
    <x v="5"/>
    <n v="2023"/>
    <s v="Q2"/>
    <s v="Phone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s v="Referral"/>
    <n v="133.38999999999999"/>
    <n v="133.38999999999999"/>
    <s v="Correct"/>
    <x v="1"/>
    <n v="2024"/>
    <s v="Q3"/>
    <s v="Laptop"/>
  </r>
  <r>
    <s v="ORD201069"/>
    <d v="2023-02-25T00:00:00"/>
    <s v="C70506"/>
    <x v="0"/>
    <n v="1"/>
    <n v="454.23"/>
    <s v="255 Main St"/>
    <x v="3"/>
    <s v="Returned"/>
    <s v="TRK12518384"/>
    <n v="3"/>
    <s v="no coupoun"/>
    <s v="Facebook"/>
    <n v="454.23"/>
    <n v="454.23"/>
    <s v="Correct"/>
    <x v="2"/>
    <n v="2023"/>
    <s v="Q1"/>
    <s v="Monitor"/>
  </r>
  <r>
    <s v="ORD201070"/>
    <d v="2024-09-06T00:00:00"/>
    <s v="C46873"/>
    <x v="6"/>
    <n v="4"/>
    <n v="491.29"/>
    <s v="496 Main St"/>
    <x v="0"/>
    <s v="Pending"/>
    <s v="TRK10926575"/>
    <n v="6"/>
    <s v="no coupoun"/>
    <s v="Email"/>
    <n v="1965.16"/>
    <n v="1965.16"/>
    <s v="Correct"/>
    <x v="11"/>
    <n v="2024"/>
    <s v="Q3"/>
    <s v="Desk"/>
  </r>
  <r>
    <s v="ORD201071"/>
    <d v="2025-06-24T00:00:00"/>
    <s v="C94037"/>
    <x v="1"/>
    <n v="2"/>
    <n v="255.14"/>
    <s v="216 Main St"/>
    <x v="4"/>
    <s v="Shipped"/>
    <s v="TRK47536985"/>
    <n v="2"/>
    <s v="no coupoun"/>
    <s v="Google"/>
    <n v="510.28"/>
    <n v="510.28"/>
    <s v="Correct"/>
    <x v="5"/>
    <n v="2025"/>
    <s v="Q2"/>
    <s v="Phone"/>
  </r>
  <r>
    <s v="ORD201072"/>
    <d v="2023-02-26T00:00:00"/>
    <s v="C88644"/>
    <x v="0"/>
    <n v="1"/>
    <n v="392.61"/>
    <s v="977 Main St"/>
    <x v="3"/>
    <s v="Cancelled"/>
    <s v="TRK14900878"/>
    <n v="4"/>
    <s v="SAVE10"/>
    <s v="Referral"/>
    <n v="392.61"/>
    <n v="392.61"/>
    <s v="Correct"/>
    <x v="2"/>
    <n v="2023"/>
    <s v="Q1"/>
    <s v="Monitor"/>
  </r>
  <r>
    <s v="ORD201073"/>
    <d v="2024-10-11T00:00:00"/>
    <s v="C69471"/>
    <x v="2"/>
    <n v="4"/>
    <n v="362.06"/>
    <s v="294 Main St"/>
    <x v="0"/>
    <s v="Returned"/>
    <s v="TRK11107152"/>
    <n v="4"/>
    <s v="no coupoun"/>
    <s v="Facebook"/>
    <n v="1448.24"/>
    <n v="1448.24"/>
    <s v="Correct"/>
    <x v="3"/>
    <n v="2024"/>
    <s v="Q4"/>
    <s v="Tablet"/>
  </r>
  <r>
    <s v="ORD201074"/>
    <d v="2024-05-10T00:00:00"/>
    <s v="C21437"/>
    <x v="1"/>
    <n v="1"/>
    <n v="222.73"/>
    <s v="120 Main St"/>
    <x v="1"/>
    <s v="Returned"/>
    <s v="TRK81624772"/>
    <n v="4"/>
    <s v="no coupoun"/>
    <s v="Google"/>
    <n v="222.73"/>
    <n v="222.73"/>
    <s v="Correct"/>
    <x v="4"/>
    <n v="2024"/>
    <s v="Q2"/>
    <s v="Phone"/>
  </r>
  <r>
    <s v="ORD201075"/>
    <d v="2024-08-31T00:00:00"/>
    <s v="C40949"/>
    <x v="0"/>
    <n v="2"/>
    <n v="552.63"/>
    <s v="609 Main St"/>
    <x v="0"/>
    <s v="Delivered"/>
    <s v="TRK43066749"/>
    <n v="7"/>
    <s v="WINTER15"/>
    <s v="Instagram"/>
    <n v="1105.26"/>
    <n v="1105.26"/>
    <s v="Correct"/>
    <x v="1"/>
    <n v="2024"/>
    <s v="Q3"/>
    <s v="Monitor"/>
  </r>
  <r>
    <s v="ORD201076"/>
    <d v="2023-05-08T00:00:00"/>
    <s v="C99116"/>
    <x v="5"/>
    <n v="4"/>
    <n v="686.61"/>
    <s v="176 Main St"/>
    <x v="4"/>
    <s v="Shipped"/>
    <s v="TRK52711973"/>
    <n v="6"/>
    <s v="no coupoun"/>
    <s v="Referral"/>
    <n v="2746.44"/>
    <n v="2746.44"/>
    <s v="Correct"/>
    <x v="4"/>
    <n v="2023"/>
    <s v="Q2"/>
    <s v="Laptop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s v="Referral"/>
    <n v="915.48"/>
    <n v="915.48"/>
    <s v="Correct"/>
    <x v="9"/>
    <n v="2025"/>
    <s v="Q1"/>
    <s v="Printer"/>
  </r>
  <r>
    <s v="ORD201078"/>
    <d v="2023-03-18T00:00:00"/>
    <s v="C62627"/>
    <x v="6"/>
    <n v="1"/>
    <n v="41.09"/>
    <s v="881 Main St"/>
    <x v="1"/>
    <s v="Returned"/>
    <s v="TRK90060232"/>
    <n v="4"/>
    <s v="WINTER15"/>
    <s v="Email"/>
    <n v="41.09"/>
    <n v="41.09"/>
    <s v="Correct"/>
    <x v="9"/>
    <n v="2023"/>
    <s v="Q1"/>
    <s v="Desk"/>
  </r>
  <r>
    <s v="ORD201079"/>
    <d v="2024-06-20T00:00:00"/>
    <s v="C89979"/>
    <x v="1"/>
    <n v="5"/>
    <n v="634"/>
    <s v="144 Main St"/>
    <x v="3"/>
    <s v="Delivered"/>
    <s v="TRK99055909"/>
    <n v="8"/>
    <s v="no coupoun"/>
    <s v="Email"/>
    <n v="3170"/>
    <n v="3170"/>
    <s v="Correct"/>
    <x v="5"/>
    <n v="2024"/>
    <s v="Q2"/>
    <s v="Phone"/>
  </r>
  <r>
    <s v="ORD201080"/>
    <d v="2023-01-20T00:00:00"/>
    <s v="C70613"/>
    <x v="5"/>
    <n v="5"/>
    <n v="464.74"/>
    <s v="438 Main St"/>
    <x v="3"/>
    <s v="Delivered"/>
    <s v="TRK33140293"/>
    <n v="7"/>
    <s v="no coupoun"/>
    <s v="Referral"/>
    <n v="2323.6999999999998"/>
    <n v="2323.6999999999998"/>
    <s v="Correct"/>
    <x v="0"/>
    <n v="2023"/>
    <s v="Q1"/>
    <s v="Laptop"/>
  </r>
  <r>
    <s v="ORD201081"/>
    <d v="2023-04-21T00:00:00"/>
    <s v="C55636"/>
    <x v="0"/>
    <n v="4"/>
    <n v="425.6"/>
    <s v="494 Main St"/>
    <x v="2"/>
    <s v="Pending"/>
    <s v="TRK85897054"/>
    <n v="5"/>
    <s v="FREESHIP"/>
    <s v="Google"/>
    <n v="1702.4"/>
    <n v="1702.4"/>
    <s v="Correct"/>
    <x v="6"/>
    <n v="2023"/>
    <s v="Q2"/>
    <s v="Monitor"/>
  </r>
  <r>
    <s v="ORD201082"/>
    <d v="2023-10-06T00:00:00"/>
    <s v="C96595"/>
    <x v="3"/>
    <n v="3"/>
    <n v="573.22"/>
    <s v="177 Main St"/>
    <x v="0"/>
    <s v="Pending"/>
    <s v="TRK59779174"/>
    <n v="5"/>
    <s v="SAVE10"/>
    <s v="Email"/>
    <n v="1719.66"/>
    <n v="1719.66"/>
    <s v="Correct"/>
    <x v="3"/>
    <n v="2023"/>
    <s v="Q4"/>
    <s v="Chair"/>
  </r>
  <r>
    <s v="ORD201083"/>
    <d v="2024-07-09T00:00:00"/>
    <s v="C68508"/>
    <x v="3"/>
    <n v="1"/>
    <n v="123.28"/>
    <s v="895 Main St"/>
    <x v="2"/>
    <s v="Delivered"/>
    <s v="TRK98960285"/>
    <n v="3"/>
    <s v="SAVE10"/>
    <s v="Email"/>
    <n v="123.28"/>
    <n v="123.28"/>
    <s v="Correct"/>
    <x v="10"/>
    <n v="2024"/>
    <s v="Q3"/>
    <s v="Chair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s v="Instagram"/>
    <n v="70.819999999999993"/>
    <n v="70.819999999999993"/>
    <s v="Correct"/>
    <x v="0"/>
    <n v="2023"/>
    <s v="Q1"/>
    <s v="Phone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s v="Instagram"/>
    <n v="1293.3800000000001"/>
    <n v="1293.3800000000001"/>
    <s v="Correct"/>
    <x v="4"/>
    <n v="2023"/>
    <s v="Q2"/>
    <s v="Printer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s v="Instagram"/>
    <n v="1026.8399999999999"/>
    <n v="1026.8399999999999"/>
    <s v="Correct"/>
    <x v="8"/>
    <n v="2023"/>
    <s v="Q4"/>
    <s v="Tablet"/>
  </r>
  <r>
    <s v="ORD201087"/>
    <d v="2025-03-23T00:00:00"/>
    <s v="C84134"/>
    <x v="5"/>
    <n v="4"/>
    <n v="693.07"/>
    <s v="530 Main St"/>
    <x v="1"/>
    <s v="Shipped"/>
    <s v="TRK48659380"/>
    <n v="8"/>
    <s v="SAVE10"/>
    <s v="Instagram"/>
    <n v="2772.28"/>
    <n v="2772.28"/>
    <s v="Correct"/>
    <x v="9"/>
    <n v="2025"/>
    <s v="Q1"/>
    <s v="Laptop"/>
  </r>
  <r>
    <s v="ORD201088"/>
    <d v="2023-11-30T00:00:00"/>
    <s v="C49831"/>
    <x v="6"/>
    <n v="3"/>
    <n v="491.43"/>
    <s v="213 Main St"/>
    <x v="3"/>
    <s v="Shipped"/>
    <s v="TRK21232601"/>
    <n v="6"/>
    <s v="WINTER15"/>
    <s v="Instagram"/>
    <n v="1474.29"/>
    <n v="1474.29"/>
    <s v="Correct"/>
    <x v="7"/>
    <n v="2023"/>
    <s v="Q4"/>
    <s v="Desk"/>
  </r>
  <r>
    <s v="ORD201089"/>
    <d v="2025-03-15T00:00:00"/>
    <s v="C13324"/>
    <x v="2"/>
    <n v="2"/>
    <n v="599.74"/>
    <s v="440 Main St"/>
    <x v="3"/>
    <s v="Shipped"/>
    <s v="TRK66967997"/>
    <n v="2"/>
    <s v="no coupoun"/>
    <s v="Instagram"/>
    <n v="1199.48"/>
    <n v="1199.48"/>
    <s v="Correct"/>
    <x v="9"/>
    <n v="2025"/>
    <s v="Q1"/>
    <s v="Tablet"/>
  </r>
  <r>
    <s v="ORD201090"/>
    <d v="2023-02-25T00:00:00"/>
    <s v="C61225"/>
    <x v="0"/>
    <n v="2"/>
    <n v="650.25"/>
    <s v="996 Main St"/>
    <x v="3"/>
    <s v="Returned"/>
    <s v="TRK37022954"/>
    <n v="6"/>
    <s v="no coupoun"/>
    <s v="Instagram"/>
    <n v="1300.5"/>
    <n v="1300.5"/>
    <s v="Correct"/>
    <x v="2"/>
    <n v="2023"/>
    <s v="Q1"/>
    <s v="Monitor"/>
  </r>
  <r>
    <s v="ORD201091"/>
    <d v="2024-10-08T00:00:00"/>
    <s v="C16400"/>
    <x v="5"/>
    <n v="3"/>
    <n v="209.48"/>
    <s v="123 Main St"/>
    <x v="0"/>
    <s v="Pending"/>
    <s v="TRK57771859"/>
    <n v="4"/>
    <s v="no coupoun"/>
    <s v="Email"/>
    <n v="628.43999999999994"/>
    <n v="628.43999999999994"/>
    <s v="Correct"/>
    <x v="3"/>
    <n v="2024"/>
    <s v="Q4"/>
    <s v="Laptop"/>
  </r>
  <r>
    <s v="ORD201092"/>
    <d v="2023-08-21T00:00:00"/>
    <s v="C38642"/>
    <x v="5"/>
    <n v="5"/>
    <n v="209.2"/>
    <s v="930 Main St"/>
    <x v="0"/>
    <s v="Delivered"/>
    <s v="TRK47744396"/>
    <n v="6"/>
    <s v="WINTER15"/>
    <s v="Email"/>
    <n v="1046"/>
    <n v="1046"/>
    <s v="Correct"/>
    <x v="1"/>
    <n v="2023"/>
    <s v="Q3"/>
    <s v="Laptop"/>
  </r>
  <r>
    <s v="ORD201093"/>
    <d v="2023-06-09T00:00:00"/>
    <s v="C86773"/>
    <x v="1"/>
    <n v="4"/>
    <n v="197.36"/>
    <s v="557 Main St"/>
    <x v="3"/>
    <s v="Returned"/>
    <s v="TRK22612240"/>
    <n v="9"/>
    <s v="FREESHIP"/>
    <s v="Instagram"/>
    <n v="789.44"/>
    <n v="789.44"/>
    <s v="Correct"/>
    <x v="5"/>
    <n v="2023"/>
    <s v="Q2"/>
    <s v="Phone"/>
  </r>
  <r>
    <s v="ORD201094"/>
    <d v="2023-06-28T00:00:00"/>
    <s v="C66093"/>
    <x v="4"/>
    <n v="4"/>
    <n v="648.91"/>
    <s v="615 Main St"/>
    <x v="2"/>
    <s v="Shipped"/>
    <s v="TRK54950785"/>
    <n v="6"/>
    <s v="SAVE10"/>
    <s v="Instagram"/>
    <n v="2595.64"/>
    <n v="2595.64"/>
    <s v="Correct"/>
    <x v="5"/>
    <n v="2023"/>
    <s v="Q2"/>
    <s v="Printer"/>
  </r>
  <r>
    <s v="ORD201095"/>
    <d v="2024-04-23T00:00:00"/>
    <s v="C33051"/>
    <x v="1"/>
    <n v="2"/>
    <n v="441.54"/>
    <s v="397 Main St"/>
    <x v="1"/>
    <s v="Delivered"/>
    <s v="TRK92929755"/>
    <n v="2"/>
    <s v="SAVE10"/>
    <s v="Email"/>
    <n v="883.08"/>
    <n v="883.08"/>
    <s v="Correct"/>
    <x v="6"/>
    <n v="2024"/>
    <s v="Q2"/>
    <s v="Phone"/>
  </r>
  <r>
    <s v="ORD201096"/>
    <d v="2025-05-03T00:00:00"/>
    <s v="C18169"/>
    <x v="2"/>
    <n v="2"/>
    <n v="464.92"/>
    <s v="782 Main St"/>
    <x v="0"/>
    <s v="Returned"/>
    <s v="TRK49482923"/>
    <n v="2"/>
    <s v="no coupoun"/>
    <s v="Facebook"/>
    <n v="929.84"/>
    <n v="929.84"/>
    <s v="Correct"/>
    <x v="4"/>
    <n v="2025"/>
    <s v="Q2"/>
    <s v="Tablet"/>
  </r>
  <r>
    <s v="ORD201097"/>
    <d v="2024-12-26T00:00:00"/>
    <s v="C81370"/>
    <x v="0"/>
    <n v="5"/>
    <n v="506.45"/>
    <s v="344 Main St"/>
    <x v="3"/>
    <s v="Shipped"/>
    <s v="TRK99682998"/>
    <n v="7"/>
    <s v="WINTER15"/>
    <s v="Google"/>
    <n v="2532.25"/>
    <n v="2532.25"/>
    <s v="Correct"/>
    <x v="8"/>
    <n v="2024"/>
    <s v="Q4"/>
    <s v="Monitor"/>
  </r>
  <r>
    <s v="ORD201098"/>
    <d v="2023-06-17T00:00:00"/>
    <s v="C91103"/>
    <x v="0"/>
    <n v="4"/>
    <n v="255.86"/>
    <s v="155 Main St"/>
    <x v="2"/>
    <s v="Delivered"/>
    <s v="TRK91653000"/>
    <n v="7"/>
    <s v="no coupoun"/>
    <s v="Email"/>
    <n v="1023.44"/>
    <n v="1023.44"/>
    <s v="Correct"/>
    <x v="5"/>
    <n v="2023"/>
    <s v="Q2"/>
    <s v="Monitor"/>
  </r>
  <r>
    <s v="ORD201099"/>
    <d v="2024-09-19T00:00:00"/>
    <s v="C21953"/>
    <x v="5"/>
    <n v="2"/>
    <n v="125.23"/>
    <s v="272 Main St"/>
    <x v="4"/>
    <s v="Cancelled"/>
    <s v="TRK60774796"/>
    <n v="3"/>
    <s v="FREESHIP"/>
    <s v="Email"/>
    <n v="250.46"/>
    <n v="250.46"/>
    <s v="Correct"/>
    <x v="11"/>
    <n v="2024"/>
    <s v="Q3"/>
    <s v="Laptop"/>
  </r>
  <r>
    <s v="ORD201100"/>
    <d v="2023-08-17T00:00:00"/>
    <s v="C15146"/>
    <x v="5"/>
    <n v="5"/>
    <n v="38.11"/>
    <s v="428 Main St"/>
    <x v="0"/>
    <s v="Cancelled"/>
    <s v="TRK79790530"/>
    <n v="6"/>
    <s v="WINTER15"/>
    <s v="Instagram"/>
    <n v="190.55"/>
    <n v="190.55"/>
    <s v="Correct"/>
    <x v="1"/>
    <n v="2023"/>
    <s v="Q3"/>
    <s v="Laptop"/>
  </r>
  <r>
    <s v="ORD201101"/>
    <d v="2025-06-08T00:00:00"/>
    <s v="C43546"/>
    <x v="0"/>
    <n v="3"/>
    <n v="161.97"/>
    <s v="904 Main St"/>
    <x v="4"/>
    <s v="Pending"/>
    <s v="TRK85871121"/>
    <n v="4"/>
    <s v="SAVE10"/>
    <s v="Email"/>
    <n v="485.91"/>
    <n v="485.90999999999997"/>
    <s v="Correct"/>
    <x v="5"/>
    <n v="2025"/>
    <s v="Q2"/>
    <s v="Monitor"/>
  </r>
  <r>
    <s v="ORD201102"/>
    <d v="2024-06-03T00:00:00"/>
    <s v="C98474"/>
    <x v="3"/>
    <n v="4"/>
    <n v="347.17"/>
    <s v="997 Main St"/>
    <x v="0"/>
    <s v="Shipped"/>
    <s v="TRK86192984"/>
    <n v="8"/>
    <s v="no coupoun"/>
    <s v="Instagram"/>
    <n v="1388.68"/>
    <n v="1388.68"/>
    <s v="Correct"/>
    <x v="5"/>
    <n v="2024"/>
    <s v="Q2"/>
    <s v="Chair"/>
  </r>
  <r>
    <s v="ORD201103"/>
    <d v="2023-04-24T00:00:00"/>
    <s v="C90292"/>
    <x v="5"/>
    <n v="4"/>
    <n v="276.32"/>
    <s v="129 Main St"/>
    <x v="1"/>
    <s v="Delivered"/>
    <s v="TRK26270357"/>
    <n v="5"/>
    <s v="no coupoun"/>
    <s v="Google"/>
    <n v="1105.28"/>
    <n v="1105.28"/>
    <s v="Correct"/>
    <x v="6"/>
    <n v="2023"/>
    <s v="Q2"/>
    <s v="Laptop"/>
  </r>
  <r>
    <s v="ORD201104"/>
    <d v="2024-07-25T00:00:00"/>
    <s v="C17075"/>
    <x v="2"/>
    <n v="4"/>
    <n v="314.76"/>
    <s v="850 Main St"/>
    <x v="1"/>
    <s v="Shipped"/>
    <s v="TRK63547510"/>
    <n v="8"/>
    <s v="no coupoun"/>
    <s v="Instagram"/>
    <n v="1259.04"/>
    <n v="1259.04"/>
    <s v="Correct"/>
    <x v="10"/>
    <n v="2024"/>
    <s v="Q3"/>
    <s v="Tablet"/>
  </r>
  <r>
    <s v="ORD201105"/>
    <d v="2024-01-08T00:00:00"/>
    <s v="C12487"/>
    <x v="2"/>
    <n v="3"/>
    <n v="475.69"/>
    <s v="884 Main St"/>
    <x v="3"/>
    <s v="Cancelled"/>
    <s v="TRK23324770"/>
    <n v="3"/>
    <s v="no coupoun"/>
    <s v="Google"/>
    <n v="1427.07"/>
    <n v="1427.07"/>
    <s v="Correct"/>
    <x v="0"/>
    <n v="2024"/>
    <s v="Q1"/>
    <s v="Tablet"/>
  </r>
  <r>
    <s v="ORD201106"/>
    <d v="2023-03-12T00:00:00"/>
    <s v="C34555"/>
    <x v="3"/>
    <n v="1"/>
    <n v="372.8"/>
    <s v="903 Main St"/>
    <x v="4"/>
    <s v="Cancelled"/>
    <s v="TRK72859458"/>
    <n v="6"/>
    <s v="SAVE10"/>
    <s v="Facebook"/>
    <n v="372.8"/>
    <n v="372.8"/>
    <s v="Correct"/>
    <x v="9"/>
    <n v="2023"/>
    <s v="Q1"/>
    <s v="Chair"/>
  </r>
  <r>
    <s v="ORD201107"/>
    <d v="2025-06-30T00:00:00"/>
    <s v="C25110"/>
    <x v="2"/>
    <n v="2"/>
    <n v="63.21"/>
    <s v="282 Main St"/>
    <x v="1"/>
    <s v="Cancelled"/>
    <s v="TRK80963328"/>
    <n v="4"/>
    <s v="SAVE10"/>
    <s v="Google"/>
    <n v="126.42"/>
    <n v="126.42"/>
    <s v="Correct"/>
    <x v="5"/>
    <n v="2025"/>
    <s v="Q2"/>
    <s v="Tablet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s v="Instagram"/>
    <n v="634.94000000000005"/>
    <n v="634.94000000000005"/>
    <s v="Correct"/>
    <x v="9"/>
    <n v="2023"/>
    <s v="Q1"/>
    <s v="Laptop"/>
  </r>
  <r>
    <s v="ORD201109"/>
    <d v="2024-04-08T00:00:00"/>
    <s v="C62277"/>
    <x v="4"/>
    <n v="4"/>
    <n v="77.47"/>
    <s v="474 Main St"/>
    <x v="3"/>
    <s v="Returned"/>
    <s v="TRK32026174"/>
    <n v="7"/>
    <s v="SAVE10"/>
    <s v="Instagram"/>
    <n v="309.88"/>
    <n v="309.88"/>
    <s v="Correct"/>
    <x v="6"/>
    <n v="2024"/>
    <s v="Q2"/>
    <s v="Printer"/>
  </r>
  <r>
    <s v="ORD201110"/>
    <d v="2024-02-25T00:00:00"/>
    <s v="C12472"/>
    <x v="3"/>
    <n v="3"/>
    <n v="84.31"/>
    <s v="912 Main St"/>
    <x v="2"/>
    <s v="Shipped"/>
    <s v="TRK36103184"/>
    <n v="3"/>
    <s v="SAVE10"/>
    <s v="Email"/>
    <n v="252.93"/>
    <n v="252.93"/>
    <s v="Correct"/>
    <x v="2"/>
    <n v="2024"/>
    <s v="Q1"/>
    <s v="Chair"/>
  </r>
  <r>
    <s v="ORD201111"/>
    <d v="2023-05-06T00:00:00"/>
    <s v="C24047"/>
    <x v="0"/>
    <n v="4"/>
    <n v="234.45"/>
    <s v="362 Main St"/>
    <x v="1"/>
    <s v="Cancelled"/>
    <s v="TRK91338580"/>
    <n v="9"/>
    <s v="FREESHIP"/>
    <s v="Instagram"/>
    <n v="937.8"/>
    <n v="937.8"/>
    <s v="Correct"/>
    <x v="4"/>
    <n v="2023"/>
    <s v="Q2"/>
    <s v="Monitor"/>
  </r>
  <r>
    <s v="ORD201112"/>
    <d v="2023-10-13T00:00:00"/>
    <s v="C76929"/>
    <x v="6"/>
    <n v="1"/>
    <n v="356.81"/>
    <s v="563 Main St"/>
    <x v="1"/>
    <s v="Delivered"/>
    <s v="TRK80694400"/>
    <n v="1"/>
    <s v="WINTER15"/>
    <s v="Instagram"/>
    <n v="356.81"/>
    <n v="356.81"/>
    <s v="Correct"/>
    <x v="3"/>
    <n v="2023"/>
    <s v="Q4"/>
    <s v="Desk"/>
  </r>
  <r>
    <s v="ORD201113"/>
    <d v="2023-03-19T00:00:00"/>
    <s v="C52914"/>
    <x v="6"/>
    <n v="4"/>
    <n v="209.99"/>
    <s v="168 Main St"/>
    <x v="4"/>
    <s v="Delivered"/>
    <s v="TRK80819053"/>
    <n v="8"/>
    <s v="no coupoun"/>
    <s v="Google"/>
    <n v="839.96"/>
    <n v="839.96"/>
    <s v="Correct"/>
    <x v="9"/>
    <n v="2023"/>
    <s v="Q1"/>
    <s v="Desk"/>
  </r>
  <r>
    <s v="ORD201114"/>
    <d v="2023-03-16T00:00:00"/>
    <s v="C55164"/>
    <x v="2"/>
    <n v="3"/>
    <n v="659.88"/>
    <s v="609 Main St"/>
    <x v="3"/>
    <s v="Cancelled"/>
    <s v="TRK79610967"/>
    <n v="3"/>
    <s v="no coupoun"/>
    <s v="Google"/>
    <n v="1979.64"/>
    <n v="1979.6399999999999"/>
    <s v="Correct"/>
    <x v="9"/>
    <n v="2023"/>
    <s v="Q1"/>
    <s v="Tablet"/>
  </r>
  <r>
    <s v="ORD201115"/>
    <d v="2025-06-20T00:00:00"/>
    <s v="C70426"/>
    <x v="5"/>
    <n v="2"/>
    <n v="336.32"/>
    <s v="562 Main St"/>
    <x v="1"/>
    <s v="Returned"/>
    <s v="TRK89687816"/>
    <n v="3"/>
    <s v="no coupoun"/>
    <s v="Google"/>
    <n v="672.64"/>
    <n v="672.64"/>
    <s v="Correct"/>
    <x v="5"/>
    <n v="2025"/>
    <s v="Q2"/>
    <s v="Laptop"/>
  </r>
  <r>
    <s v="ORD201116"/>
    <d v="2023-10-14T00:00:00"/>
    <s v="C69149"/>
    <x v="4"/>
    <n v="2"/>
    <n v="531.49"/>
    <s v="562 Main St"/>
    <x v="2"/>
    <s v="Delivered"/>
    <s v="TRK61265132"/>
    <n v="7"/>
    <s v="WINTER15"/>
    <s v="Facebook"/>
    <n v="1062.98"/>
    <n v="1062.98"/>
    <s v="Correct"/>
    <x v="3"/>
    <n v="2023"/>
    <s v="Q4"/>
    <s v="Printer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s v="Google"/>
    <n v="1765.32"/>
    <n v="1765.3200000000002"/>
    <s v="Correct"/>
    <x v="4"/>
    <n v="2024"/>
    <s v="Q2"/>
    <s v="Chair"/>
  </r>
  <r>
    <s v="ORD201118"/>
    <d v="2024-05-24T00:00:00"/>
    <s v="C58168"/>
    <x v="1"/>
    <n v="3"/>
    <n v="251.48"/>
    <s v="359 Main St"/>
    <x v="2"/>
    <s v="Returned"/>
    <s v="TRK99102265"/>
    <n v="4"/>
    <s v="no coupoun"/>
    <s v="Email"/>
    <n v="754.43999999999994"/>
    <n v="754.43999999999994"/>
    <s v="Correct"/>
    <x v="4"/>
    <n v="2024"/>
    <s v="Q2"/>
    <s v="Phone"/>
  </r>
  <r>
    <s v="ORD201119"/>
    <d v="2024-11-24T00:00:00"/>
    <s v="C99024"/>
    <x v="5"/>
    <n v="1"/>
    <n v="684.65"/>
    <s v="250 Main St"/>
    <x v="2"/>
    <s v="Delivered"/>
    <s v="TRK24675988"/>
    <n v="1"/>
    <s v="FREESHIP"/>
    <s v="Email"/>
    <n v="684.65"/>
    <n v="684.65"/>
    <s v="Correct"/>
    <x v="7"/>
    <n v="2024"/>
    <s v="Q4"/>
    <s v="Laptop"/>
  </r>
  <r>
    <s v="ORD201120"/>
    <d v="2025-05-10T00:00:00"/>
    <s v="C22919"/>
    <x v="2"/>
    <n v="1"/>
    <n v="195.86"/>
    <s v="267 Main St"/>
    <x v="1"/>
    <s v="Pending"/>
    <s v="TRK82416295"/>
    <n v="3"/>
    <s v="no coupoun"/>
    <s v="Facebook"/>
    <n v="195.86"/>
    <n v="195.86"/>
    <s v="Correct"/>
    <x v="4"/>
    <n v="2025"/>
    <s v="Q2"/>
    <s v="Tablet"/>
  </r>
  <r>
    <s v="ORD201121"/>
    <d v="2023-05-28T00:00:00"/>
    <s v="C98354"/>
    <x v="1"/>
    <n v="3"/>
    <n v="50.34"/>
    <s v="393 Main St"/>
    <x v="3"/>
    <s v="Returned"/>
    <s v="TRK43070888"/>
    <n v="3"/>
    <s v="FREESHIP"/>
    <s v="Instagram"/>
    <n v="151.02000000000001"/>
    <n v="151.02000000000001"/>
    <s v="Correct"/>
    <x v="4"/>
    <n v="2023"/>
    <s v="Q2"/>
    <s v="Phone"/>
  </r>
  <r>
    <s v="ORD201122"/>
    <d v="2023-06-07T00:00:00"/>
    <s v="C38840"/>
    <x v="0"/>
    <n v="5"/>
    <n v="678.19"/>
    <s v="766 Main St"/>
    <x v="1"/>
    <s v="Returned"/>
    <s v="TRK32496970"/>
    <n v="8"/>
    <s v="no coupoun"/>
    <s v="Facebook"/>
    <n v="3390.95"/>
    <n v="3390.9500000000003"/>
    <s v="Correct"/>
    <x v="5"/>
    <n v="2023"/>
    <s v="Q2"/>
    <s v="Monitor"/>
  </r>
  <r>
    <s v="ORD201123"/>
    <d v="2023-04-14T00:00:00"/>
    <s v="C68936"/>
    <x v="2"/>
    <n v="3"/>
    <n v="554.25"/>
    <s v="843 Main St"/>
    <x v="0"/>
    <s v="Shipped"/>
    <s v="TRK73163634"/>
    <n v="6"/>
    <s v="no coupoun"/>
    <s v="Referral"/>
    <n v="1662.75"/>
    <n v="1662.75"/>
    <s v="Correct"/>
    <x v="6"/>
    <n v="2023"/>
    <s v="Q2"/>
    <s v="Tablet"/>
  </r>
  <r>
    <s v="ORD201124"/>
    <d v="2023-05-09T00:00:00"/>
    <s v="C33744"/>
    <x v="3"/>
    <n v="4"/>
    <n v="576.87"/>
    <s v="888 Main St"/>
    <x v="3"/>
    <s v="Returned"/>
    <s v="TRK40245983"/>
    <n v="5"/>
    <s v="no coupoun"/>
    <s v="Instagram"/>
    <n v="2307.48"/>
    <n v="2307.48"/>
    <s v="Correct"/>
    <x v="4"/>
    <n v="2023"/>
    <s v="Q2"/>
    <s v="Chair"/>
  </r>
  <r>
    <s v="ORD201125"/>
    <d v="2023-10-16T00:00:00"/>
    <s v="C23555"/>
    <x v="6"/>
    <n v="4"/>
    <n v="408.36"/>
    <s v="156 Main St"/>
    <x v="3"/>
    <s v="Cancelled"/>
    <s v="TRK67210247"/>
    <n v="4"/>
    <s v="FREESHIP"/>
    <s v="Referral"/>
    <n v="1633.44"/>
    <n v="1633.44"/>
    <s v="Correct"/>
    <x v="3"/>
    <n v="2023"/>
    <s v="Q4"/>
    <s v="Desk"/>
  </r>
  <r>
    <s v="ORD201126"/>
    <d v="2024-07-22T00:00:00"/>
    <s v="C34337"/>
    <x v="1"/>
    <n v="5"/>
    <n v="190.11"/>
    <s v="325 Main St"/>
    <x v="4"/>
    <s v="Delivered"/>
    <s v="TRK36195559"/>
    <n v="7"/>
    <s v="SAVE10"/>
    <s v="Google"/>
    <n v="950.55000000000007"/>
    <n v="950.55000000000007"/>
    <s v="Correct"/>
    <x v="10"/>
    <n v="2024"/>
    <s v="Q3"/>
    <s v="Phone"/>
  </r>
  <r>
    <s v="ORD201127"/>
    <d v="2025-03-15T00:00:00"/>
    <s v="C69396"/>
    <x v="4"/>
    <n v="3"/>
    <n v="602.75"/>
    <s v="920 Main St"/>
    <x v="2"/>
    <s v="Shipped"/>
    <s v="TRK33155049"/>
    <n v="6"/>
    <s v="SAVE10"/>
    <s v="Email"/>
    <n v="1808.25"/>
    <n v="1808.25"/>
    <s v="Correct"/>
    <x v="9"/>
    <n v="2025"/>
    <s v="Q1"/>
    <s v="Printer"/>
  </r>
  <r>
    <s v="ORD201128"/>
    <d v="2023-08-17T00:00:00"/>
    <s v="C49198"/>
    <x v="0"/>
    <n v="3"/>
    <n v="646.79"/>
    <s v="447 Main St"/>
    <x v="4"/>
    <s v="Cancelled"/>
    <s v="TRK10883354"/>
    <n v="5"/>
    <s v="WINTER15"/>
    <s v="Google"/>
    <n v="1940.37"/>
    <n v="1940.37"/>
    <s v="Correct"/>
    <x v="1"/>
    <n v="2023"/>
    <s v="Q3"/>
    <s v="Monitor"/>
  </r>
  <r>
    <s v="ORD201129"/>
    <d v="2023-06-11T00:00:00"/>
    <s v="C43911"/>
    <x v="3"/>
    <n v="4"/>
    <n v="418.71"/>
    <s v="239 Main St"/>
    <x v="4"/>
    <s v="Pending"/>
    <s v="TRK37495481"/>
    <n v="8"/>
    <s v="FREESHIP"/>
    <s v="Instagram"/>
    <n v="1674.84"/>
    <n v="1674.84"/>
    <s v="Correct"/>
    <x v="5"/>
    <n v="2023"/>
    <s v="Q2"/>
    <s v="Chair"/>
  </r>
  <r>
    <s v="ORD201130"/>
    <d v="2025-02-16T00:00:00"/>
    <s v="C24347"/>
    <x v="5"/>
    <n v="2"/>
    <n v="323.45"/>
    <s v="533 Main St"/>
    <x v="2"/>
    <s v="Returned"/>
    <s v="TRK27233265"/>
    <n v="5"/>
    <s v="FREESHIP"/>
    <s v="Instagram"/>
    <n v="646.9"/>
    <n v="646.9"/>
    <s v="Correct"/>
    <x v="2"/>
    <n v="2025"/>
    <s v="Q1"/>
    <s v="Laptop"/>
  </r>
  <r>
    <s v="ORD201131"/>
    <d v="2024-07-18T00:00:00"/>
    <s v="C21043"/>
    <x v="1"/>
    <n v="1"/>
    <n v="694.5"/>
    <s v="195 Main St"/>
    <x v="2"/>
    <s v="Pending"/>
    <s v="TRK41691086"/>
    <n v="3"/>
    <s v="WINTER15"/>
    <s v="Facebook"/>
    <n v="694.5"/>
    <n v="694.5"/>
    <s v="Correct"/>
    <x v="10"/>
    <n v="2024"/>
    <s v="Q3"/>
    <s v="Phone"/>
  </r>
  <r>
    <s v="ORD201132"/>
    <d v="2024-12-02T00:00:00"/>
    <s v="C58858"/>
    <x v="3"/>
    <n v="2"/>
    <n v="337.32"/>
    <s v="948 Main St"/>
    <x v="2"/>
    <s v="Cancelled"/>
    <s v="TRK30406357"/>
    <n v="4"/>
    <s v="SAVE10"/>
    <s v="Email"/>
    <n v="674.64"/>
    <n v="674.64"/>
    <s v="Correct"/>
    <x v="8"/>
    <n v="2024"/>
    <s v="Q4"/>
    <s v="Chair"/>
  </r>
  <r>
    <s v="ORD201133"/>
    <d v="2024-04-09T00:00:00"/>
    <s v="C20670"/>
    <x v="4"/>
    <n v="2"/>
    <n v="467.91"/>
    <s v="432 Main St"/>
    <x v="3"/>
    <s v="Returned"/>
    <s v="TRK76731303"/>
    <n v="5"/>
    <s v="WINTER15"/>
    <s v="Facebook"/>
    <n v="935.82"/>
    <n v="935.82"/>
    <s v="Correct"/>
    <x v="6"/>
    <n v="2024"/>
    <s v="Q2"/>
    <s v="Printer"/>
  </r>
  <r>
    <s v="ORD201134"/>
    <d v="2024-06-08T00:00:00"/>
    <s v="C90993"/>
    <x v="6"/>
    <n v="4"/>
    <n v="38.28"/>
    <s v="950 Main St"/>
    <x v="0"/>
    <s v="Cancelled"/>
    <s v="TRK53964711"/>
    <n v="4"/>
    <s v="WINTER15"/>
    <s v="Facebook"/>
    <n v="153.12"/>
    <n v="153.12"/>
    <s v="Correct"/>
    <x v="5"/>
    <n v="2024"/>
    <s v="Q2"/>
    <s v="Desk"/>
  </r>
  <r>
    <s v="ORD201135"/>
    <d v="2023-12-28T00:00:00"/>
    <s v="C11473"/>
    <x v="4"/>
    <n v="2"/>
    <n v="73.41"/>
    <s v="562 Main St"/>
    <x v="1"/>
    <s v="Shipped"/>
    <s v="TRK97793275"/>
    <n v="2"/>
    <s v="SAVE10"/>
    <s v="Google"/>
    <n v="146.82"/>
    <n v="146.82"/>
    <s v="Correct"/>
    <x v="8"/>
    <n v="2023"/>
    <s v="Q4"/>
    <s v="Printer"/>
  </r>
  <r>
    <s v="ORD201136"/>
    <d v="2023-09-24T00:00:00"/>
    <s v="C71899"/>
    <x v="2"/>
    <n v="3"/>
    <n v="668.33"/>
    <s v="799 Main St"/>
    <x v="3"/>
    <s v="Pending"/>
    <s v="TRK34856025"/>
    <n v="4"/>
    <s v="WINTER15"/>
    <s v="Facebook"/>
    <n v="2004.99"/>
    <n v="2004.9900000000002"/>
    <s v="Correct"/>
    <x v="11"/>
    <n v="2023"/>
    <s v="Q3"/>
    <s v="Tablet"/>
  </r>
  <r>
    <s v="ORD201137"/>
    <d v="2024-07-29T00:00:00"/>
    <s v="C48577"/>
    <x v="4"/>
    <n v="4"/>
    <n v="410.21"/>
    <s v="841 Main St"/>
    <x v="4"/>
    <s v="Pending"/>
    <s v="TRK59911645"/>
    <n v="5"/>
    <s v="WINTER15"/>
    <s v="Instagram"/>
    <n v="1640.84"/>
    <n v="1640.84"/>
    <s v="Correct"/>
    <x v="10"/>
    <n v="2024"/>
    <s v="Q3"/>
    <s v="Printer"/>
  </r>
  <r>
    <s v="ORD201138"/>
    <d v="2023-12-18T00:00:00"/>
    <s v="C13100"/>
    <x v="6"/>
    <n v="4"/>
    <n v="294.41000000000003"/>
    <s v="188 Main St"/>
    <x v="0"/>
    <s v="Pending"/>
    <s v="TRK55565668"/>
    <n v="4"/>
    <s v="no coupoun"/>
    <s v="Instagram"/>
    <n v="1177.6400000000001"/>
    <n v="1177.6400000000001"/>
    <s v="Correct"/>
    <x v="8"/>
    <n v="2023"/>
    <s v="Q4"/>
    <s v="Desk"/>
  </r>
  <r>
    <s v="ORD201139"/>
    <d v="2025-03-01T00:00:00"/>
    <s v="C70659"/>
    <x v="3"/>
    <n v="3"/>
    <n v="501.82"/>
    <s v="568 Main St"/>
    <x v="3"/>
    <s v="Cancelled"/>
    <s v="TRK28290825"/>
    <n v="4"/>
    <s v="FREESHIP"/>
    <s v="Email"/>
    <n v="1505.46"/>
    <n v="1505.46"/>
    <s v="Correct"/>
    <x v="9"/>
    <n v="2025"/>
    <s v="Q1"/>
    <s v="Chair"/>
  </r>
  <r>
    <s v="ORD201140"/>
    <d v="2024-06-24T00:00:00"/>
    <s v="C49838"/>
    <x v="4"/>
    <n v="2"/>
    <n v="552.83000000000004"/>
    <s v="904 Main St"/>
    <x v="2"/>
    <s v="Cancelled"/>
    <s v="TRK38297718"/>
    <n v="3"/>
    <s v="no coupoun"/>
    <s v="Referral"/>
    <n v="1105.6600000000001"/>
    <n v="1105.6600000000001"/>
    <s v="Correct"/>
    <x v="5"/>
    <n v="2024"/>
    <s v="Q2"/>
    <s v="Printer"/>
  </r>
  <r>
    <s v="ORD201141"/>
    <d v="2025-02-16T00:00:00"/>
    <s v="C11998"/>
    <x v="3"/>
    <n v="3"/>
    <n v="498.66"/>
    <s v="382 Main St"/>
    <x v="4"/>
    <s v="Cancelled"/>
    <s v="TRK26707221"/>
    <n v="6"/>
    <s v="no coupoun"/>
    <s v="Email"/>
    <n v="1495.98"/>
    <n v="1495.98"/>
    <s v="Correct"/>
    <x v="2"/>
    <n v="2025"/>
    <s v="Q1"/>
    <s v="Chair"/>
  </r>
  <r>
    <s v="ORD201142"/>
    <d v="2024-08-23T00:00:00"/>
    <s v="C23405"/>
    <x v="1"/>
    <n v="4"/>
    <n v="695.1"/>
    <s v="484 Main St"/>
    <x v="0"/>
    <s v="Returned"/>
    <s v="TRK83678708"/>
    <n v="8"/>
    <s v="no coupoun"/>
    <s v="Email"/>
    <n v="2780.4"/>
    <n v="2780.4"/>
    <s v="Correct"/>
    <x v="1"/>
    <n v="2024"/>
    <s v="Q3"/>
    <s v="Phone"/>
  </r>
  <r>
    <s v="ORD201143"/>
    <d v="2023-04-03T00:00:00"/>
    <s v="C41132"/>
    <x v="3"/>
    <n v="1"/>
    <n v="381.61"/>
    <s v="114 Main St"/>
    <x v="0"/>
    <s v="Pending"/>
    <s v="TRK51040137"/>
    <n v="5"/>
    <s v="no coupoun"/>
    <s v="Email"/>
    <n v="381.61"/>
    <n v="381.61"/>
    <s v="Correct"/>
    <x v="6"/>
    <n v="2023"/>
    <s v="Q2"/>
    <s v="Chair"/>
  </r>
  <r>
    <s v="ORD201144"/>
    <d v="2023-02-16T00:00:00"/>
    <s v="C88463"/>
    <x v="6"/>
    <n v="5"/>
    <n v="507.94"/>
    <s v="292 Main St"/>
    <x v="1"/>
    <s v="Cancelled"/>
    <s v="TRK88749996"/>
    <n v="9"/>
    <s v="no coupoun"/>
    <s v="Facebook"/>
    <n v="2539.6999999999998"/>
    <n v="2539.6999999999998"/>
    <s v="Correct"/>
    <x v="2"/>
    <n v="2023"/>
    <s v="Q1"/>
    <s v="Desk"/>
  </r>
  <r>
    <s v="ORD201145"/>
    <d v="2025-05-12T00:00:00"/>
    <s v="C28152"/>
    <x v="6"/>
    <n v="3"/>
    <n v="571.53"/>
    <s v="821 Main St"/>
    <x v="0"/>
    <s v="Delivered"/>
    <s v="TRK59642814"/>
    <n v="6"/>
    <s v="FREESHIP"/>
    <s v="Facebook"/>
    <n v="1714.59"/>
    <n v="1714.59"/>
    <s v="Correct"/>
    <x v="4"/>
    <n v="2025"/>
    <s v="Q2"/>
    <s v="Desk"/>
  </r>
  <r>
    <s v="ORD201146"/>
    <d v="2024-10-03T00:00:00"/>
    <s v="C36383"/>
    <x v="0"/>
    <n v="5"/>
    <n v="421.44"/>
    <s v="286 Main St"/>
    <x v="4"/>
    <s v="Pending"/>
    <s v="TRK93336357"/>
    <n v="5"/>
    <s v="SAVE10"/>
    <s v="Instagram"/>
    <n v="2107.1999999999998"/>
    <n v="2107.1999999999998"/>
    <s v="Correct"/>
    <x v="3"/>
    <n v="2024"/>
    <s v="Q4"/>
    <s v="Monitor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s v="Email"/>
    <n v="1176.5999999999999"/>
    <n v="1176.5999999999999"/>
    <s v="Correct"/>
    <x v="0"/>
    <n v="2025"/>
    <s v="Q1"/>
    <s v="Chair"/>
  </r>
  <r>
    <s v="ORD201148"/>
    <d v="2024-06-25T00:00:00"/>
    <s v="C54886"/>
    <x v="1"/>
    <n v="1"/>
    <n v="355.15"/>
    <s v="442 Main St"/>
    <x v="4"/>
    <s v="Returned"/>
    <s v="TRK66241930"/>
    <n v="2"/>
    <s v="SAVE10"/>
    <s v="Email"/>
    <n v="355.15"/>
    <n v="355.15"/>
    <s v="Correct"/>
    <x v="5"/>
    <n v="2024"/>
    <s v="Q2"/>
    <s v="Phone"/>
  </r>
  <r>
    <s v="ORD201149"/>
    <d v="2024-07-25T00:00:00"/>
    <s v="C27305"/>
    <x v="3"/>
    <n v="2"/>
    <n v="695.29"/>
    <s v="957 Main St"/>
    <x v="2"/>
    <s v="Pending"/>
    <s v="TRK28789916"/>
    <n v="6"/>
    <s v="FREESHIP"/>
    <s v="Instagram"/>
    <n v="1390.58"/>
    <n v="1390.58"/>
    <s v="Correct"/>
    <x v="10"/>
    <n v="2024"/>
    <s v="Q3"/>
    <s v="Chair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s v="Referral"/>
    <n v="1210.5999999999999"/>
    <n v="1210.5999999999999"/>
    <s v="Correct"/>
    <x v="2"/>
    <n v="2023"/>
    <s v="Q1"/>
    <s v="Desk"/>
  </r>
  <r>
    <s v="ORD201151"/>
    <d v="2023-01-29T00:00:00"/>
    <s v="C94381"/>
    <x v="3"/>
    <n v="2"/>
    <n v="608.04"/>
    <s v="962 Main St"/>
    <x v="4"/>
    <s v="Cancelled"/>
    <s v="TRK69804304"/>
    <n v="4"/>
    <s v="no coupoun"/>
    <s v="Google"/>
    <n v="1216.08"/>
    <n v="1216.08"/>
    <s v="Correct"/>
    <x v="0"/>
    <n v="2023"/>
    <s v="Q1"/>
    <s v="Chair"/>
  </r>
  <r>
    <s v="ORD201152"/>
    <d v="2023-11-09T00:00:00"/>
    <s v="C25162"/>
    <x v="2"/>
    <n v="2"/>
    <n v="344.18"/>
    <s v="533 Main St"/>
    <x v="2"/>
    <s v="Shipped"/>
    <s v="TRK42183078"/>
    <n v="7"/>
    <s v="no coupoun"/>
    <s v="Referral"/>
    <n v="688.36"/>
    <n v="688.36"/>
    <s v="Correct"/>
    <x v="7"/>
    <n v="2023"/>
    <s v="Q4"/>
    <s v="Tablet"/>
  </r>
  <r>
    <s v="ORD201153"/>
    <d v="2024-12-16T00:00:00"/>
    <s v="C98317"/>
    <x v="0"/>
    <n v="4"/>
    <n v="696.71"/>
    <s v="276 Main St"/>
    <x v="0"/>
    <s v="Shipped"/>
    <s v="TRK37172138"/>
    <n v="4"/>
    <s v="no coupoun"/>
    <s v="Instagram"/>
    <n v="2786.84"/>
    <n v="2786.84"/>
    <s v="Correct"/>
    <x v="8"/>
    <n v="2024"/>
    <s v="Q4"/>
    <s v="Monitor"/>
  </r>
  <r>
    <s v="ORD201154"/>
    <d v="2025-06-11T00:00:00"/>
    <s v="C53631"/>
    <x v="0"/>
    <n v="3"/>
    <n v="198.63"/>
    <s v="593 Main St"/>
    <x v="4"/>
    <s v="Pending"/>
    <s v="TRK67589167"/>
    <n v="8"/>
    <s v="no coupoun"/>
    <s v="Instagram"/>
    <n v="595.89"/>
    <n v="595.89"/>
    <s v="Correct"/>
    <x v="5"/>
    <n v="2025"/>
    <s v="Q2"/>
    <s v="Monitor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s v="Facebook"/>
    <n v="2138.2800000000002"/>
    <n v="2138.2800000000002"/>
    <s v="Correct"/>
    <x v="1"/>
    <n v="2023"/>
    <s v="Q3"/>
    <s v="Printer"/>
  </r>
  <r>
    <s v="ORD201156"/>
    <d v="2023-07-19T00:00:00"/>
    <s v="C20512"/>
    <x v="5"/>
    <n v="4"/>
    <n v="690.78"/>
    <s v="980 Main St"/>
    <x v="2"/>
    <s v="Shipped"/>
    <s v="TRK98234737"/>
    <n v="9"/>
    <s v="no coupoun"/>
    <s v="Referral"/>
    <n v="2763.12"/>
    <n v="2763.12"/>
    <s v="Correct"/>
    <x v="10"/>
    <n v="2023"/>
    <s v="Q3"/>
    <s v="Laptop"/>
  </r>
  <r>
    <s v="ORD201157"/>
    <d v="2024-05-29T00:00:00"/>
    <s v="C25841"/>
    <x v="0"/>
    <n v="3"/>
    <n v="301.55"/>
    <s v="242 Main St"/>
    <x v="0"/>
    <s v="Delivered"/>
    <s v="TRK21451375"/>
    <n v="5"/>
    <s v="FREESHIP"/>
    <s v="Google"/>
    <n v="904.65000000000009"/>
    <n v="904.65000000000009"/>
    <s v="Correct"/>
    <x v="4"/>
    <n v="2024"/>
    <s v="Q2"/>
    <s v="Monitor"/>
  </r>
  <r>
    <s v="ORD201158"/>
    <d v="2023-04-20T00:00:00"/>
    <s v="C82781"/>
    <x v="0"/>
    <n v="4"/>
    <n v="27.42"/>
    <s v="661 Main St"/>
    <x v="0"/>
    <s v="Pending"/>
    <s v="TRK20605418"/>
    <n v="4"/>
    <s v="SAVE10"/>
    <s v="Referral"/>
    <n v="109.68"/>
    <n v="109.68"/>
    <s v="Correct"/>
    <x v="6"/>
    <n v="2023"/>
    <s v="Q2"/>
    <s v="Monitor"/>
  </r>
  <r>
    <s v="ORD201159"/>
    <d v="2024-02-23T00:00:00"/>
    <s v="C66112"/>
    <x v="6"/>
    <n v="4"/>
    <n v="466.7"/>
    <s v="874 Main St"/>
    <x v="0"/>
    <s v="Returned"/>
    <s v="TRK60955607"/>
    <n v="8"/>
    <s v="no coupoun"/>
    <s v="Instagram"/>
    <n v="1866.8"/>
    <n v="1866.8"/>
    <s v="Correct"/>
    <x v="2"/>
    <n v="2024"/>
    <s v="Q1"/>
    <s v="Desk"/>
  </r>
  <r>
    <s v="ORD201160"/>
    <d v="2024-09-04T00:00:00"/>
    <s v="C40466"/>
    <x v="6"/>
    <n v="1"/>
    <n v="541.64"/>
    <s v="449 Main St"/>
    <x v="0"/>
    <s v="Shipped"/>
    <s v="TRK70255168"/>
    <n v="5"/>
    <s v="SAVE10"/>
    <s v="Email"/>
    <n v="541.64"/>
    <n v="541.64"/>
    <s v="Correct"/>
    <x v="11"/>
    <n v="2024"/>
    <s v="Q3"/>
    <s v="Desk"/>
  </r>
  <r>
    <s v="ORD201161"/>
    <d v="2023-10-16T00:00:00"/>
    <s v="C32570"/>
    <x v="1"/>
    <n v="1"/>
    <n v="11.39"/>
    <s v="826 Main St"/>
    <x v="4"/>
    <s v="Cancelled"/>
    <s v="TRK35969968"/>
    <n v="6"/>
    <s v="WINTER15"/>
    <s v="Email"/>
    <n v="11.39"/>
    <n v="11.39"/>
    <s v="Correct"/>
    <x v="3"/>
    <n v="2023"/>
    <s v="Q4"/>
    <s v="Phone"/>
  </r>
  <r>
    <s v="ORD201162"/>
    <d v="2025-03-11T00:00:00"/>
    <s v="C29405"/>
    <x v="1"/>
    <n v="2"/>
    <n v="224.37"/>
    <s v="251 Main St"/>
    <x v="0"/>
    <s v="Delivered"/>
    <s v="TRK33125798"/>
    <n v="3"/>
    <s v="WINTER15"/>
    <s v="Referral"/>
    <n v="448.74"/>
    <n v="448.74"/>
    <s v="Correct"/>
    <x v="9"/>
    <n v="2025"/>
    <s v="Q1"/>
    <s v="Phone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s v="Instagram"/>
    <n v="918.87000000000012"/>
    <n v="918.87000000000012"/>
    <s v="Correct"/>
    <x v="5"/>
    <n v="2024"/>
    <s v="Q2"/>
    <s v="Laptop"/>
  </r>
  <r>
    <s v="ORD201164"/>
    <d v="2024-01-08T00:00:00"/>
    <s v="C65890"/>
    <x v="2"/>
    <n v="5"/>
    <n v="315.57"/>
    <s v="340 Main St"/>
    <x v="0"/>
    <s v="Delivered"/>
    <s v="TRK64530489"/>
    <n v="6"/>
    <s v="WINTER15"/>
    <s v="Email"/>
    <n v="1577.85"/>
    <n v="1577.85"/>
    <s v="Correct"/>
    <x v="0"/>
    <n v="2024"/>
    <s v="Q1"/>
    <s v="Tablet"/>
  </r>
  <r>
    <s v="ORD201165"/>
    <d v="2023-07-14T00:00:00"/>
    <s v="C36992"/>
    <x v="3"/>
    <n v="3"/>
    <n v="223.79"/>
    <s v="617 Main St"/>
    <x v="0"/>
    <s v="Pending"/>
    <s v="TRK63460217"/>
    <n v="3"/>
    <s v="no coupoun"/>
    <s v="Google"/>
    <n v="671.37"/>
    <n v="671.37"/>
    <s v="Correct"/>
    <x v="10"/>
    <n v="2023"/>
    <s v="Q3"/>
    <s v="Chair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s v="Email"/>
    <n v="973.41000000000008"/>
    <n v="973.41000000000008"/>
    <s v="Correct"/>
    <x v="10"/>
    <n v="2023"/>
    <s v="Q3"/>
    <s v="Chair"/>
  </r>
  <r>
    <s v="ORD201167"/>
    <d v="2023-10-17T00:00:00"/>
    <s v="C17966"/>
    <x v="4"/>
    <n v="2"/>
    <n v="92.87"/>
    <s v="360 Main St"/>
    <x v="2"/>
    <s v="Pending"/>
    <s v="TRK31169396"/>
    <n v="5"/>
    <s v="FREESHIP"/>
    <s v="Facebook"/>
    <n v="185.74"/>
    <n v="185.74"/>
    <s v="Correct"/>
    <x v="3"/>
    <n v="2023"/>
    <s v="Q4"/>
    <s v="Printer"/>
  </r>
  <r>
    <s v="ORD201168"/>
    <d v="2023-04-08T00:00:00"/>
    <s v="C89559"/>
    <x v="5"/>
    <n v="2"/>
    <n v="331.42"/>
    <s v="297 Main St"/>
    <x v="2"/>
    <s v="Delivered"/>
    <s v="TRK82838108"/>
    <n v="6"/>
    <s v="WINTER15"/>
    <s v="Google"/>
    <n v="662.84"/>
    <n v="662.84"/>
    <s v="Correct"/>
    <x v="6"/>
    <n v="2023"/>
    <s v="Q2"/>
    <s v="Laptop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s v="Instagram"/>
    <n v="525.42999999999995"/>
    <n v="525.42999999999995"/>
    <s v="Correct"/>
    <x v="8"/>
    <n v="2024"/>
    <s v="Q4"/>
    <s v="Chair"/>
  </r>
  <r>
    <s v="ORD201170"/>
    <d v="2023-08-03T00:00:00"/>
    <s v="C94257"/>
    <x v="4"/>
    <n v="2"/>
    <n v="697.19"/>
    <s v="762 Main St"/>
    <x v="4"/>
    <s v="Returned"/>
    <s v="TRK40220743"/>
    <n v="7"/>
    <s v="FREESHIP"/>
    <s v="Email"/>
    <n v="1394.38"/>
    <n v="1394.38"/>
    <s v="Correct"/>
    <x v="1"/>
    <n v="2023"/>
    <s v="Q3"/>
    <s v="Printer"/>
  </r>
  <r>
    <s v="ORD201171"/>
    <d v="2023-08-28T00:00:00"/>
    <s v="C39911"/>
    <x v="1"/>
    <n v="4"/>
    <n v="518.4"/>
    <s v="699 Main St"/>
    <x v="2"/>
    <s v="Delivered"/>
    <s v="TRK80431998"/>
    <n v="7"/>
    <s v="SAVE10"/>
    <s v="Facebook"/>
    <n v="2073.6"/>
    <n v="2073.6"/>
    <s v="Correct"/>
    <x v="1"/>
    <n v="2023"/>
    <s v="Q3"/>
    <s v="Phone"/>
  </r>
  <r>
    <s v="ORD201172"/>
    <d v="2025-02-04T00:00:00"/>
    <s v="C28828"/>
    <x v="6"/>
    <n v="3"/>
    <n v="131.96"/>
    <s v="745 Main St"/>
    <x v="2"/>
    <s v="Pending"/>
    <s v="TRK32550359"/>
    <n v="8"/>
    <s v="no coupoun"/>
    <s v="Instagram"/>
    <n v="395.88"/>
    <n v="395.88"/>
    <s v="Correct"/>
    <x v="2"/>
    <n v="2025"/>
    <s v="Q1"/>
    <s v="Desk"/>
  </r>
  <r>
    <s v="ORD201173"/>
    <d v="2024-10-04T00:00:00"/>
    <s v="C82921"/>
    <x v="0"/>
    <n v="1"/>
    <n v="208.36"/>
    <s v="703 Main St"/>
    <x v="1"/>
    <s v="Shipped"/>
    <s v="TRK31079911"/>
    <n v="4"/>
    <s v="FREESHIP"/>
    <s v="Email"/>
    <n v="208.36"/>
    <n v="208.36"/>
    <s v="Correct"/>
    <x v="3"/>
    <n v="2024"/>
    <s v="Q4"/>
    <s v="Monitor"/>
  </r>
  <r>
    <s v="ORD201174"/>
    <d v="2023-11-27T00:00:00"/>
    <s v="C50159"/>
    <x v="4"/>
    <n v="3"/>
    <n v="222.34"/>
    <s v="105 Main St"/>
    <x v="2"/>
    <s v="Returned"/>
    <s v="TRK53737452"/>
    <n v="5"/>
    <s v="WINTER15"/>
    <s v="Email"/>
    <n v="667.02"/>
    <n v="667.02"/>
    <s v="Correct"/>
    <x v="7"/>
    <n v="2023"/>
    <s v="Q4"/>
    <s v="Printer"/>
  </r>
  <r>
    <s v="ORD201175"/>
    <d v="2024-09-10T00:00:00"/>
    <s v="C62512"/>
    <x v="4"/>
    <n v="3"/>
    <n v="91.74"/>
    <s v="368 Main St"/>
    <x v="0"/>
    <s v="Returned"/>
    <s v="TRK24139954"/>
    <n v="8"/>
    <s v="FREESHIP"/>
    <s v="Referral"/>
    <n v="275.22000000000003"/>
    <n v="275.21999999999997"/>
    <s v="Correct"/>
    <x v="11"/>
    <n v="2024"/>
    <s v="Q3"/>
    <s v="Printer"/>
  </r>
  <r>
    <s v="ORD201176"/>
    <d v="2023-08-13T00:00:00"/>
    <s v="C39260"/>
    <x v="2"/>
    <n v="2"/>
    <n v="213.83"/>
    <s v="374 Main St"/>
    <x v="0"/>
    <s v="Cancelled"/>
    <s v="TRK55587314"/>
    <n v="2"/>
    <s v="WINTER15"/>
    <s v="Email"/>
    <n v="427.66"/>
    <n v="427.66"/>
    <s v="Correct"/>
    <x v="1"/>
    <n v="2023"/>
    <s v="Q3"/>
    <s v="Tablet"/>
  </r>
  <r>
    <s v="ORD201177"/>
    <d v="2023-04-27T00:00:00"/>
    <s v="C23917"/>
    <x v="4"/>
    <n v="1"/>
    <n v="127.55"/>
    <s v="433 Main St"/>
    <x v="4"/>
    <s v="Shipped"/>
    <s v="TRK44434536"/>
    <n v="3"/>
    <s v="SAVE10"/>
    <s v="Referral"/>
    <n v="127.55"/>
    <n v="127.55"/>
    <s v="Correct"/>
    <x v="6"/>
    <n v="2023"/>
    <s v="Q2"/>
    <s v="Printer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s v="Google"/>
    <n v="70.239999999999995"/>
    <n v="70.239999999999995"/>
    <s v="Correct"/>
    <x v="11"/>
    <n v="2024"/>
    <s v="Q3"/>
    <s v="Monitor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s v="Instagram"/>
    <n v="2592.75"/>
    <n v="2592.75"/>
    <s v="Correct"/>
    <x v="0"/>
    <n v="2023"/>
    <s v="Q1"/>
    <s v="Laptop"/>
  </r>
  <r>
    <s v="ORD201180"/>
    <d v="2023-10-31T00:00:00"/>
    <s v="C42235"/>
    <x v="3"/>
    <n v="4"/>
    <n v="298.36"/>
    <s v="722 Main St"/>
    <x v="0"/>
    <s v="Pending"/>
    <s v="TRK49379882"/>
    <n v="8"/>
    <s v="FREESHIP"/>
    <s v="Google"/>
    <n v="1193.44"/>
    <n v="1193.44"/>
    <s v="Correct"/>
    <x v="3"/>
    <n v="2023"/>
    <s v="Q4"/>
    <s v="Chair"/>
  </r>
  <r>
    <s v="ORD201181"/>
    <d v="2023-07-27T00:00:00"/>
    <s v="C70246"/>
    <x v="6"/>
    <n v="3"/>
    <n v="158.74"/>
    <s v="293 Main St"/>
    <x v="1"/>
    <s v="Pending"/>
    <s v="TRK45708320"/>
    <n v="7"/>
    <s v="FREESHIP"/>
    <s v="Instagram"/>
    <n v="476.22"/>
    <n v="476.22"/>
    <s v="Correct"/>
    <x v="10"/>
    <n v="2023"/>
    <s v="Q3"/>
    <s v="Desk"/>
  </r>
  <r>
    <s v="ORD201182"/>
    <d v="2025-06-14T00:00:00"/>
    <s v="C18473"/>
    <x v="3"/>
    <n v="2"/>
    <n v="420.29"/>
    <s v="700 Main St"/>
    <x v="3"/>
    <s v="Returned"/>
    <s v="TRK97834202"/>
    <n v="3"/>
    <s v="SAVE10"/>
    <s v="Google"/>
    <n v="840.58"/>
    <n v="840.58"/>
    <s v="Correct"/>
    <x v="5"/>
    <n v="2025"/>
    <s v="Q2"/>
    <s v="Chair"/>
  </r>
  <r>
    <s v="ORD201183"/>
    <d v="2023-04-05T00:00:00"/>
    <s v="C12607"/>
    <x v="6"/>
    <n v="1"/>
    <n v="281.52"/>
    <s v="460 Main St"/>
    <x v="3"/>
    <s v="Shipped"/>
    <s v="TRK83653396"/>
    <n v="6"/>
    <s v="WINTER15"/>
    <s v="Referral"/>
    <n v="281.52"/>
    <n v="281.52"/>
    <s v="Correct"/>
    <x v="6"/>
    <n v="2023"/>
    <s v="Q2"/>
    <s v="Desk"/>
  </r>
  <r>
    <s v="ORD201184"/>
    <d v="2023-09-27T00:00:00"/>
    <s v="C10222"/>
    <x v="5"/>
    <n v="1"/>
    <n v="204.08"/>
    <s v="979 Main St"/>
    <x v="3"/>
    <s v="Returned"/>
    <s v="TRK86297895"/>
    <n v="4"/>
    <s v="no coupoun"/>
    <s v="Google"/>
    <n v="204.08"/>
    <n v="204.08"/>
    <s v="Correct"/>
    <x v="11"/>
    <n v="2023"/>
    <s v="Q3"/>
    <s v="Laptop"/>
  </r>
  <r>
    <s v="ORD201185"/>
    <d v="2024-07-08T00:00:00"/>
    <s v="C77344"/>
    <x v="3"/>
    <n v="1"/>
    <n v="343.31"/>
    <s v="777 Main St"/>
    <x v="3"/>
    <s v="Returned"/>
    <s v="TRK20605055"/>
    <n v="6"/>
    <s v="SAVE10"/>
    <s v="Google"/>
    <n v="343.31"/>
    <n v="343.31"/>
    <s v="Correct"/>
    <x v="10"/>
    <n v="2024"/>
    <s v="Q3"/>
    <s v="Chair"/>
  </r>
  <r>
    <s v="ORD201186"/>
    <d v="2023-11-18T00:00:00"/>
    <s v="C65497"/>
    <x v="0"/>
    <n v="1"/>
    <n v="163.32"/>
    <s v="676 Main St"/>
    <x v="4"/>
    <s v="Shipped"/>
    <s v="TRK83702761"/>
    <n v="6"/>
    <s v="WINTER15"/>
    <s v="Facebook"/>
    <n v="163.32"/>
    <n v="163.32"/>
    <s v="Correct"/>
    <x v="7"/>
    <n v="2023"/>
    <s v="Q4"/>
    <s v="Monitor"/>
  </r>
  <r>
    <s v="ORD201187"/>
    <d v="2024-03-13T00:00:00"/>
    <s v="C26340"/>
    <x v="6"/>
    <n v="2"/>
    <n v="184.6"/>
    <s v="562 Main St"/>
    <x v="3"/>
    <s v="Delivered"/>
    <s v="TRK59962703"/>
    <n v="7"/>
    <s v="WINTER15"/>
    <s v="Email"/>
    <n v="369.2"/>
    <n v="369.2"/>
    <s v="Correct"/>
    <x v="9"/>
    <n v="2024"/>
    <s v="Q1"/>
    <s v="Desk"/>
  </r>
  <r>
    <s v="ORD201188"/>
    <d v="2023-10-07T00:00:00"/>
    <s v="C75619"/>
    <x v="4"/>
    <n v="2"/>
    <n v="371.29"/>
    <s v="924 Main St"/>
    <x v="3"/>
    <s v="Shipped"/>
    <s v="TRK23086941"/>
    <n v="5"/>
    <s v="WINTER15"/>
    <s v="Facebook"/>
    <n v="742.58"/>
    <n v="742.58"/>
    <s v="Correct"/>
    <x v="3"/>
    <n v="2023"/>
    <s v="Q4"/>
    <s v="Printer"/>
  </r>
  <r>
    <s v="ORD201189"/>
    <d v="2024-08-17T00:00:00"/>
    <s v="C96136"/>
    <x v="2"/>
    <n v="5"/>
    <n v="389.22"/>
    <s v="149 Main St"/>
    <x v="4"/>
    <s v="Cancelled"/>
    <s v="TRK60856682"/>
    <n v="7"/>
    <s v="no coupoun"/>
    <s v="Referral"/>
    <n v="1946.1"/>
    <n v="1946.1000000000001"/>
    <s v="Correct"/>
    <x v="1"/>
    <n v="2024"/>
    <s v="Q3"/>
    <s v="Tablet"/>
  </r>
  <r>
    <s v="ORD201190"/>
    <d v="2025-06-08T00:00:00"/>
    <s v="C46886"/>
    <x v="6"/>
    <n v="3"/>
    <n v="616.39"/>
    <s v="754 Main St"/>
    <x v="2"/>
    <s v="Shipped"/>
    <s v="TRK82791646"/>
    <n v="6"/>
    <s v="FREESHIP"/>
    <s v="Instagram"/>
    <n v="1849.17"/>
    <n v="1849.17"/>
    <s v="Correct"/>
    <x v="5"/>
    <n v="2025"/>
    <s v="Q2"/>
    <s v="Desk"/>
  </r>
  <r>
    <s v="ORD201191"/>
    <d v="2025-02-10T00:00:00"/>
    <s v="C44148"/>
    <x v="6"/>
    <n v="4"/>
    <n v="376.43"/>
    <s v="809 Main St"/>
    <x v="3"/>
    <s v="Pending"/>
    <s v="TRK67872709"/>
    <n v="5"/>
    <s v="WINTER15"/>
    <s v="Instagram"/>
    <n v="1505.72"/>
    <n v="1505.72"/>
    <s v="Correct"/>
    <x v="2"/>
    <n v="2025"/>
    <s v="Q1"/>
    <s v="Desk"/>
  </r>
  <r>
    <s v="ORD201192"/>
    <d v="2024-02-28T00:00:00"/>
    <s v="C72007"/>
    <x v="3"/>
    <n v="3"/>
    <n v="432.85"/>
    <s v="999 Main St"/>
    <x v="1"/>
    <s v="Pending"/>
    <s v="TRK16240916"/>
    <n v="4"/>
    <s v="no coupoun"/>
    <s v="Instagram"/>
    <n v="1298.55"/>
    <n v="1298.5500000000002"/>
    <s v="Correct"/>
    <x v="2"/>
    <n v="2024"/>
    <s v="Q1"/>
    <s v="Chair"/>
  </r>
  <r>
    <s v="ORD201193"/>
    <d v="2025-06-16T00:00:00"/>
    <s v="C45104"/>
    <x v="2"/>
    <n v="1"/>
    <n v="687.89"/>
    <s v="348 Main St"/>
    <x v="4"/>
    <s v="Returned"/>
    <s v="TRK38559816"/>
    <n v="1"/>
    <s v="FREESHIP"/>
    <s v="Email"/>
    <n v="687.89"/>
    <n v="687.89"/>
    <s v="Correct"/>
    <x v="5"/>
    <n v="2025"/>
    <s v="Q2"/>
    <s v="Tablet"/>
  </r>
  <r>
    <s v="ORD201194"/>
    <d v="2023-11-19T00:00:00"/>
    <s v="C29885"/>
    <x v="4"/>
    <n v="3"/>
    <n v="189.44"/>
    <s v="725 Main St"/>
    <x v="4"/>
    <s v="Pending"/>
    <s v="TRK62067865"/>
    <n v="4"/>
    <s v="FREESHIP"/>
    <s v="Email"/>
    <n v="568.31999999999994"/>
    <n v="568.31999999999994"/>
    <s v="Correct"/>
    <x v="7"/>
    <n v="2023"/>
    <s v="Q4"/>
    <s v="Printer"/>
  </r>
  <r>
    <s v="ORD201195"/>
    <d v="2024-06-20T00:00:00"/>
    <s v="C21126"/>
    <x v="6"/>
    <n v="1"/>
    <n v="107.04"/>
    <s v="392 Main St"/>
    <x v="2"/>
    <s v="Cancelled"/>
    <s v="TRK38009181"/>
    <n v="6"/>
    <s v="FREESHIP"/>
    <s v="Google"/>
    <n v="107.04"/>
    <n v="107.04"/>
    <s v="Correct"/>
    <x v="5"/>
    <n v="2024"/>
    <s v="Q2"/>
    <s v="Desk"/>
  </r>
  <r>
    <s v="ORD201196"/>
    <d v="2024-03-04T00:00:00"/>
    <s v="C20095"/>
    <x v="0"/>
    <n v="2"/>
    <n v="662.53"/>
    <s v="778 Main St"/>
    <x v="1"/>
    <s v="Cancelled"/>
    <s v="TRK69207593"/>
    <n v="5"/>
    <s v="no coupoun"/>
    <s v="Facebook"/>
    <n v="1325.06"/>
    <n v="1325.06"/>
    <s v="Correct"/>
    <x v="9"/>
    <n v="2024"/>
    <s v="Q1"/>
    <s v="Monitor"/>
  </r>
  <r>
    <s v="ORD201197"/>
    <d v="2023-07-13T00:00:00"/>
    <s v="C79674"/>
    <x v="2"/>
    <n v="2"/>
    <n v="436.84"/>
    <s v="275 Main St"/>
    <x v="1"/>
    <s v="Delivered"/>
    <s v="TRK88039356"/>
    <n v="2"/>
    <s v="FREESHIP"/>
    <s v="Instagram"/>
    <n v="873.68"/>
    <n v="873.68"/>
    <s v="Correct"/>
    <x v="10"/>
    <n v="2023"/>
    <s v="Q3"/>
    <s v="Tablet"/>
  </r>
  <r>
    <s v="ORD201198"/>
    <d v="2024-08-22T00:00:00"/>
    <s v="C64753"/>
    <x v="3"/>
    <n v="4"/>
    <n v="262.52"/>
    <s v="509 Main St"/>
    <x v="0"/>
    <s v="Cancelled"/>
    <s v="TRK71683331"/>
    <n v="4"/>
    <s v="WINTER15"/>
    <s v="Instagram"/>
    <n v="1050.08"/>
    <n v="1050.08"/>
    <s v="Correct"/>
    <x v="1"/>
    <n v="2024"/>
    <s v="Q3"/>
    <s v="Chair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s v="Referral"/>
    <n v="2242.3200000000002"/>
    <n v="2242.3200000000002"/>
    <s v="Correct"/>
    <x v="5"/>
    <n v="2023"/>
    <s v="Q2"/>
    <s v="Tablet"/>
  </r>
  <r>
    <m/>
    <m/>
    <m/>
    <x v="7"/>
    <m/>
    <m/>
    <m/>
    <x v="5"/>
    <m/>
    <m/>
    <m/>
    <m/>
    <m/>
    <m/>
    <m/>
    <m/>
    <x v="12"/>
    <m/>
    <m/>
    <m/>
  </r>
  <r>
    <m/>
    <m/>
    <m/>
    <x v="7"/>
    <m/>
    <m/>
    <m/>
    <x v="5"/>
    <m/>
    <m/>
    <m/>
    <m/>
    <m/>
    <m/>
    <m/>
    <m/>
    <x v="12"/>
    <m/>
    <m/>
    <m/>
  </r>
  <r>
    <m/>
    <m/>
    <m/>
    <x v="7"/>
    <m/>
    <m/>
    <m/>
    <x v="5"/>
    <m/>
    <m/>
    <m/>
    <m/>
    <m/>
    <m/>
    <m/>
    <m/>
    <x v="12"/>
    <m/>
    <m/>
    <m/>
  </r>
  <r>
    <m/>
    <m/>
    <m/>
    <x v="7"/>
    <m/>
    <m/>
    <m/>
    <x v="5"/>
    <m/>
    <m/>
    <m/>
    <m/>
    <m/>
    <m/>
    <m/>
    <m/>
    <x v="12"/>
    <m/>
    <m/>
    <m/>
  </r>
  <r>
    <m/>
    <m/>
    <m/>
    <x v="7"/>
    <m/>
    <m/>
    <m/>
    <x v="5"/>
    <m/>
    <m/>
    <m/>
    <m/>
    <m/>
    <m/>
    <m/>
    <m/>
    <x v="12"/>
    <m/>
    <m/>
    <m/>
  </r>
  <r>
    <m/>
    <m/>
    <m/>
    <x v="7"/>
    <m/>
    <m/>
    <m/>
    <x v="5"/>
    <m/>
    <m/>
    <m/>
    <m/>
    <s v="ORD200000"/>
    <m/>
    <m/>
    <m/>
    <x v="12"/>
    <m/>
    <m/>
    <m/>
  </r>
  <r>
    <m/>
    <m/>
    <m/>
    <x v="7"/>
    <m/>
    <m/>
    <m/>
    <x v="5"/>
    <m/>
    <m/>
    <m/>
    <m/>
    <m/>
    <m/>
    <m/>
    <m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A460A-42A6-442F-927D-AF7550DA700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4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x="12"/>
        <item t="default"/>
      </items>
    </pivotField>
    <pivotField showAll="0"/>
    <pivotField showAll="0"/>
    <pivotField showAll="0"/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8A3BF-D7C2-4E70-937C-B9C38023990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20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AA9B1-D71C-4BAB-AC84-F2A5A288EC5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">
  <location ref="A3:B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7BAA0-8F51-499B-8518-8AAA3E67BE47}" name="Table1" displayName="Table1" ref="A1:T1201" totalsRowShown="0" headerRowDxfId="9" headerRowBorderDxfId="7" tableBorderDxfId="8">
  <autoFilter ref="A1:T1201" xr:uid="{33B7BAA0-8F51-499B-8518-8AAA3E67BE47}"/>
  <tableColumns count="20">
    <tableColumn id="1" xr3:uid="{B1BDC190-6964-475F-864A-2EEC6E283195}" name="OrderID"/>
    <tableColumn id="2" xr3:uid="{B2B99F64-6061-4952-A38D-483E31E322D7}" name="Date" dataDxfId="6"/>
    <tableColumn id="3" xr3:uid="{B7CAF4AA-A2F1-4B40-A04C-33943D194F6B}" name="CustomerID"/>
    <tableColumn id="4" xr3:uid="{283F737D-FFE9-4354-AFBE-7FB6E6FE03B3}" name="Product"/>
    <tableColumn id="5" xr3:uid="{365AF51C-9193-4F99-A144-78A85C92C595}" name="Quantity"/>
    <tableColumn id="6" xr3:uid="{D251FAC9-63FA-4324-917E-3FED8FDD9D23}" name="UnitPrice"/>
    <tableColumn id="7" xr3:uid="{21F8509F-4BFE-4E17-AC09-D8E6E900E320}" name="ShippingAddress"/>
    <tableColumn id="8" xr3:uid="{ADAF57F5-7DC5-4E47-92B1-07D4545804AA}" name="PaymentMethod"/>
    <tableColumn id="9" xr3:uid="{E782487F-10AD-40AF-A006-1C3A722C6F3E}" name="OrderStatus"/>
    <tableColumn id="10" xr3:uid="{4FEB0859-5943-4CD2-9104-E92692FB5594}" name="TrackingNumber"/>
    <tableColumn id="11" xr3:uid="{F6190050-1E78-4A83-A8A6-B05A99400DA8}" name="ItemsInCart"/>
    <tableColumn id="12" xr3:uid="{D2743FFB-9F48-4FE5-AC31-C9D776C96E61}" name="CouponCode"/>
    <tableColumn id="13" xr3:uid="{C97A0251-534C-4559-9C37-7B046C26D5BB}" name="ReferralSource"/>
    <tableColumn id="14" xr3:uid="{83521F5A-9C3A-4604-A251-9514A601F61B}" name="TotalPrice"/>
    <tableColumn id="15" xr3:uid="{9FA100C7-65D4-4774-AA6D-3300DD24CDF9}" name="CalculatedPrice" dataDxfId="5">
      <calculatedColumnFormula>E2*F2</calculatedColumnFormula>
    </tableColumn>
    <tableColumn id="16" xr3:uid="{4A90D0CD-9196-4D54-8AA2-AB7DF554F041}" name="Validation." dataDxfId="4">
      <calculatedColumnFormula>IF(O2=N2,"Correct","Error")</calculatedColumnFormula>
    </tableColumn>
    <tableColumn id="17" xr3:uid="{C422C30E-57E9-4F2D-BD4D-DA7375BF6EDD}" name="Month" dataDxfId="3">
      <calculatedColumnFormula>TEXT(B2,"MMMM")</calculatedColumnFormula>
    </tableColumn>
    <tableColumn id="18" xr3:uid="{ABCC9D89-7496-4292-AC72-73F4E121159E}" name="year" dataDxfId="2">
      <calculatedColumnFormula>YEAR(B2)</calculatedColumnFormula>
    </tableColumn>
    <tableColumn id="19" xr3:uid="{A6AE4771-6909-4A6B-A9A0-07CBF854013C}" name="Quarter" dataDxfId="1">
      <calculatedColumnFormula>"Q"&amp;ROUNDUP(MONTH(B2)/3,0)</calculatedColumnFormula>
    </tableColumn>
    <tableColumn id="20" xr3:uid="{95F8782A-0966-48BD-9973-0955EE75CCE8}" name="Column1" dataDxfId="0">
      <calculatedColumnFormula>TRIM(D2)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CBEB-71DF-404E-98F5-2D00B2632F30}">
  <dimension ref="A3:B17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5" t="s">
        <v>4290</v>
      </c>
      <c r="B3" t="s">
        <v>4305</v>
      </c>
    </row>
    <row r="4" spans="1:2" x14ac:dyDescent="0.3">
      <c r="A4" s="6" t="s">
        <v>4291</v>
      </c>
      <c r="B4" s="3">
        <v>124313.23000000005</v>
      </c>
    </row>
    <row r="5" spans="1:2" x14ac:dyDescent="0.3">
      <c r="A5" s="6" t="s">
        <v>4292</v>
      </c>
      <c r="B5" s="3">
        <v>112344.77999999998</v>
      </c>
    </row>
    <row r="6" spans="1:2" x14ac:dyDescent="0.3">
      <c r="A6" s="6" t="s">
        <v>4293</v>
      </c>
      <c r="B6" s="3">
        <v>123840.92999999995</v>
      </c>
    </row>
    <row r="7" spans="1:2" x14ac:dyDescent="0.3">
      <c r="A7" s="6" t="s">
        <v>4294</v>
      </c>
      <c r="B7" s="3">
        <v>109186.05</v>
      </c>
    </row>
    <row r="8" spans="1:2" x14ac:dyDescent="0.3">
      <c r="A8" s="6" t="s">
        <v>4295</v>
      </c>
      <c r="B8" s="3">
        <v>135142.59</v>
      </c>
    </row>
    <row r="9" spans="1:2" x14ac:dyDescent="0.3">
      <c r="A9" s="6" t="s">
        <v>4296</v>
      </c>
      <c r="B9" s="3">
        <v>170616.13000000006</v>
      </c>
    </row>
    <row r="10" spans="1:2" x14ac:dyDescent="0.3">
      <c r="A10" s="6" t="s">
        <v>4297</v>
      </c>
      <c r="B10" s="3">
        <v>85784.63999999997</v>
      </c>
    </row>
    <row r="11" spans="1:2" x14ac:dyDescent="0.3">
      <c r="A11" s="6" t="s">
        <v>4298</v>
      </c>
      <c r="B11" s="3">
        <v>86343.210000000036</v>
      </c>
    </row>
    <row r="12" spans="1:2" x14ac:dyDescent="0.3">
      <c r="A12" s="6" t="s">
        <v>4299</v>
      </c>
      <c r="B12" s="3">
        <v>69321.650000000023</v>
      </c>
    </row>
    <row r="13" spans="1:2" x14ac:dyDescent="0.3">
      <c r="A13" s="6" t="s">
        <v>4300</v>
      </c>
      <c r="B13" s="3">
        <v>89834.820000000022</v>
      </c>
    </row>
    <row r="14" spans="1:2" x14ac:dyDescent="0.3">
      <c r="A14" s="6" t="s">
        <v>4301</v>
      </c>
      <c r="B14" s="3">
        <v>75493.430000000008</v>
      </c>
    </row>
    <row r="15" spans="1:2" x14ac:dyDescent="0.3">
      <c r="A15" s="6" t="s">
        <v>4302</v>
      </c>
      <c r="B15" s="3">
        <v>82540.5</v>
      </c>
    </row>
    <row r="16" spans="1:2" x14ac:dyDescent="0.3">
      <c r="A16" s="6" t="s">
        <v>4303</v>
      </c>
      <c r="B16" s="3"/>
    </row>
    <row r="17" spans="1:2" x14ac:dyDescent="0.3">
      <c r="A17" s="6" t="s">
        <v>4304</v>
      </c>
      <c r="B17" s="3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F39E-445F-4D6A-B98A-E2BE245AFFC8}">
  <dimension ref="A3:B12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5" t="s">
        <v>4290</v>
      </c>
      <c r="B3" t="s">
        <v>4305</v>
      </c>
    </row>
    <row r="4" spans="1:2" x14ac:dyDescent="0.3">
      <c r="A4" s="6" t="s">
        <v>2406</v>
      </c>
      <c r="B4" s="3">
        <v>195620.11000000002</v>
      </c>
    </row>
    <row r="5" spans="1:2" x14ac:dyDescent="0.3">
      <c r="A5" s="6" t="s">
        <v>2409</v>
      </c>
      <c r="B5" s="3">
        <v>167459.93</v>
      </c>
    </row>
    <row r="6" spans="1:2" x14ac:dyDescent="0.3">
      <c r="A6" s="6" t="s">
        <v>2408</v>
      </c>
      <c r="B6" s="3">
        <v>192126.55999999994</v>
      </c>
    </row>
    <row r="7" spans="1:2" x14ac:dyDescent="0.3">
      <c r="A7" s="6" t="s">
        <v>2403</v>
      </c>
      <c r="B7" s="3">
        <v>175651.40999999997</v>
      </c>
    </row>
    <row r="8" spans="1:2" x14ac:dyDescent="0.3">
      <c r="A8" s="6" t="s">
        <v>2404</v>
      </c>
      <c r="B8" s="3">
        <v>151722.39000000001</v>
      </c>
    </row>
    <row r="9" spans="1:2" x14ac:dyDescent="0.3">
      <c r="A9" s="6" t="s">
        <v>2407</v>
      </c>
      <c r="B9" s="3">
        <v>195612.60999999996</v>
      </c>
    </row>
    <row r="10" spans="1:2" x14ac:dyDescent="0.3">
      <c r="A10" s="6" t="s">
        <v>2405</v>
      </c>
      <c r="B10" s="3">
        <v>186568.95000000007</v>
      </c>
    </row>
    <row r="11" spans="1:2" x14ac:dyDescent="0.3">
      <c r="A11" s="6" t="s">
        <v>4303</v>
      </c>
      <c r="B11" s="3"/>
    </row>
    <row r="12" spans="1:2" x14ac:dyDescent="0.3">
      <c r="A12" s="6" t="s">
        <v>4304</v>
      </c>
      <c r="B12" s="3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5D74-6838-41AD-8BE8-47D8EB230F9C}">
  <dimension ref="A3:B10"/>
  <sheetViews>
    <sheetView tabSelected="1" workbookViewId="0">
      <selection activeCell="N14" sqref="N14"/>
    </sheetView>
  </sheetViews>
  <sheetFormatPr defaultRowHeight="14.4" x14ac:dyDescent="0.3"/>
  <cols>
    <col min="1" max="1" width="10.77734375" bestFit="1" customWidth="1"/>
    <col min="2" max="2" width="15.44140625" bestFit="1" customWidth="1"/>
  </cols>
  <sheetData>
    <row r="3" spans="1:2" x14ac:dyDescent="0.3">
      <c r="A3" s="5" t="s">
        <v>4306</v>
      </c>
      <c r="B3" t="s">
        <v>4307</v>
      </c>
    </row>
    <row r="4" spans="1:2" x14ac:dyDescent="0.3">
      <c r="A4" s="6" t="s">
        <v>3069</v>
      </c>
      <c r="B4" s="3">
        <v>246</v>
      </c>
    </row>
    <row r="5" spans="1:2" x14ac:dyDescent="0.3">
      <c r="A5" s="6" t="s">
        <v>3067</v>
      </c>
      <c r="B5" s="3">
        <v>234</v>
      </c>
    </row>
    <row r="6" spans="1:2" x14ac:dyDescent="0.3">
      <c r="A6" s="6" t="s">
        <v>3065</v>
      </c>
      <c r="B6" s="3">
        <v>232</v>
      </c>
    </row>
    <row r="7" spans="1:2" x14ac:dyDescent="0.3">
      <c r="A7" s="6" t="s">
        <v>3068</v>
      </c>
      <c r="B7" s="3">
        <v>230</v>
      </c>
    </row>
    <row r="8" spans="1:2" x14ac:dyDescent="0.3">
      <c r="A8" s="6" t="s">
        <v>3066</v>
      </c>
      <c r="B8" s="3">
        <v>258</v>
      </c>
    </row>
    <row r="9" spans="1:2" x14ac:dyDescent="0.3">
      <c r="A9" s="6" t="s">
        <v>4303</v>
      </c>
      <c r="B9" s="3"/>
    </row>
    <row r="10" spans="1:2" x14ac:dyDescent="0.3">
      <c r="A10" s="6" t="s">
        <v>4304</v>
      </c>
      <c r="B10" s="3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7"/>
  <sheetViews>
    <sheetView topLeftCell="A9" zoomScaleNormal="100" workbookViewId="0">
      <selection activeCell="V18" sqref="A1:XFD1048576"/>
    </sheetView>
  </sheetViews>
  <sheetFormatPr defaultRowHeight="14.4" x14ac:dyDescent="0.3"/>
  <cols>
    <col min="1" max="1" width="9.44140625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4284</v>
      </c>
      <c r="P1" s="2" t="s">
        <v>4286</v>
      </c>
      <c r="Q1" s="2" t="s">
        <v>4287</v>
      </c>
      <c r="R1" s="2" t="s">
        <v>4288</v>
      </c>
      <c r="S1" s="2" t="s">
        <v>4289</v>
      </c>
      <c r="T1" s="2" t="s">
        <v>4285</v>
      </c>
    </row>
    <row r="2" spans="1:20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E2*F2</f>
        <v>2853.1</v>
      </c>
      <c r="P2" t="str">
        <f t="shared" ref="P2:P65" si="0">IF(O2=N2,"Correct","Error")</f>
        <v>Correct</v>
      </c>
      <c r="Q2" t="str">
        <f t="shared" ref="Q2:Q65" si="1">TEXT(B2,"MMMM")</f>
        <v>January</v>
      </c>
      <c r="R2" s="4">
        <f t="shared" ref="R2:R65" si="2">YEAR(B2)</f>
        <v>2023</v>
      </c>
      <c r="S2" s="3" t="str">
        <f t="shared" ref="S2:S65" si="3">"Q"&amp;ROUNDUP(MONTH(B2)/3,0)</f>
        <v>Q1</v>
      </c>
      <c r="T2" s="3" t="str">
        <f t="shared" ref="T2:T65" si="4">TRIM(D2)</f>
        <v>Monitor</v>
      </c>
    </row>
    <row r="3" spans="1:20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5">E3*F3</f>
        <v>302.7</v>
      </c>
      <c r="P3" t="str">
        <f t="shared" si="0"/>
        <v>Correct</v>
      </c>
      <c r="Q3" t="str">
        <f t="shared" si="1"/>
        <v>August</v>
      </c>
      <c r="R3" s="3">
        <f t="shared" si="2"/>
        <v>2024</v>
      </c>
      <c r="S3" s="3" t="str">
        <f t="shared" si="3"/>
        <v>Q3</v>
      </c>
      <c r="T3" s="3" t="str">
        <f t="shared" si="4"/>
        <v>Phone</v>
      </c>
    </row>
    <row r="4" spans="1:20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5"/>
        <v>2753.3999999999996</v>
      </c>
      <c r="P4" t="str">
        <f t="shared" si="0"/>
        <v>Correct</v>
      </c>
      <c r="Q4" t="str">
        <f t="shared" si="1"/>
        <v>February</v>
      </c>
      <c r="R4" s="3">
        <f t="shared" si="2"/>
        <v>2024</v>
      </c>
      <c r="S4" s="3" t="str">
        <f t="shared" si="3"/>
        <v>Q1</v>
      </c>
      <c r="T4" s="3" t="str">
        <f t="shared" si="4"/>
        <v>Tablet</v>
      </c>
    </row>
    <row r="5" spans="1:20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5"/>
        <v>273.19</v>
      </c>
      <c r="P5" t="str">
        <f t="shared" si="0"/>
        <v>Correct</v>
      </c>
      <c r="Q5" t="str">
        <f t="shared" si="1"/>
        <v>October</v>
      </c>
      <c r="R5" s="3">
        <f t="shared" si="2"/>
        <v>2023</v>
      </c>
      <c r="S5" s="3" t="str">
        <f t="shared" si="3"/>
        <v>Q4</v>
      </c>
      <c r="T5" s="3" t="str">
        <f t="shared" si="4"/>
        <v>Chair</v>
      </c>
    </row>
    <row r="6" spans="1:20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5"/>
        <v>2504.04</v>
      </c>
      <c r="P6" t="str">
        <f t="shared" si="0"/>
        <v>Correct</v>
      </c>
      <c r="Q6" t="str">
        <f t="shared" si="1"/>
        <v>May</v>
      </c>
      <c r="R6" s="3">
        <f t="shared" si="2"/>
        <v>2025</v>
      </c>
      <c r="S6" s="3" t="str">
        <f t="shared" si="3"/>
        <v>Q2</v>
      </c>
      <c r="T6" s="3" t="str">
        <f t="shared" si="4"/>
        <v>Printer</v>
      </c>
    </row>
    <row r="7" spans="1:20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5"/>
        <v>491.72</v>
      </c>
      <c r="P7" t="str">
        <f t="shared" si="0"/>
        <v>Correct</v>
      </c>
      <c r="Q7" t="str">
        <f t="shared" si="1"/>
        <v>October</v>
      </c>
      <c r="R7" s="3">
        <f t="shared" si="2"/>
        <v>2023</v>
      </c>
      <c r="S7" s="3" t="str">
        <f t="shared" si="3"/>
        <v>Q4</v>
      </c>
      <c r="T7" s="3" t="str">
        <f t="shared" si="4"/>
        <v>Phone</v>
      </c>
    </row>
    <row r="8" spans="1:20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5"/>
        <v>664.42</v>
      </c>
      <c r="P8" t="str">
        <f t="shared" si="0"/>
        <v>Correct</v>
      </c>
      <c r="Q8" t="str">
        <f t="shared" si="1"/>
        <v>June</v>
      </c>
      <c r="R8" s="3">
        <f t="shared" si="2"/>
        <v>2025</v>
      </c>
      <c r="S8" s="3" t="str">
        <f t="shared" si="3"/>
        <v>Q2</v>
      </c>
      <c r="T8" s="3" t="str">
        <f t="shared" si="4"/>
        <v>Laptop</v>
      </c>
    </row>
    <row r="9" spans="1:20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5"/>
        <v>747.75</v>
      </c>
      <c r="P9" t="str">
        <f t="shared" si="0"/>
        <v>Correct</v>
      </c>
      <c r="Q9" t="str">
        <f t="shared" si="1"/>
        <v>May</v>
      </c>
      <c r="R9" s="3">
        <f t="shared" si="2"/>
        <v>2023</v>
      </c>
      <c r="S9" s="3" t="str">
        <f t="shared" si="3"/>
        <v>Q2</v>
      </c>
      <c r="T9" s="3" t="str">
        <f t="shared" si="4"/>
        <v>Monitor</v>
      </c>
    </row>
    <row r="10" spans="1:20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5"/>
        <v>268.56</v>
      </c>
      <c r="P10" t="str">
        <f t="shared" si="0"/>
        <v>Correct</v>
      </c>
      <c r="Q10" t="str">
        <f t="shared" si="1"/>
        <v>April</v>
      </c>
      <c r="R10" s="3">
        <f t="shared" si="2"/>
        <v>2025</v>
      </c>
      <c r="S10" s="3" t="str">
        <f t="shared" si="3"/>
        <v>Q2</v>
      </c>
      <c r="T10" s="3" t="str">
        <f t="shared" si="4"/>
        <v>Phone</v>
      </c>
    </row>
    <row r="11" spans="1:20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5"/>
        <v>2037.52</v>
      </c>
      <c r="P11" t="str">
        <f t="shared" si="0"/>
        <v>Correct</v>
      </c>
      <c r="Q11" t="str">
        <f t="shared" si="1"/>
        <v>November</v>
      </c>
      <c r="R11" s="3">
        <f t="shared" si="2"/>
        <v>2023</v>
      </c>
      <c r="S11" s="3" t="str">
        <f t="shared" si="3"/>
        <v>Q4</v>
      </c>
      <c r="T11" s="3" t="str">
        <f t="shared" si="4"/>
        <v>Desk</v>
      </c>
    </row>
    <row r="12" spans="1:20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5"/>
        <v>3129.8500000000004</v>
      </c>
      <c r="P12" t="str">
        <f t="shared" si="0"/>
        <v>Correct</v>
      </c>
      <c r="Q12" t="str">
        <f t="shared" si="1"/>
        <v>December</v>
      </c>
      <c r="R12" s="3">
        <f t="shared" si="2"/>
        <v>2023</v>
      </c>
      <c r="S12" s="3" t="str">
        <f t="shared" si="3"/>
        <v>Q4</v>
      </c>
      <c r="T12" s="3" t="str">
        <f t="shared" si="4"/>
        <v>Tablet</v>
      </c>
    </row>
    <row r="13" spans="1:20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5"/>
        <v>147.42000000000002</v>
      </c>
      <c r="P13" t="str">
        <f t="shared" si="0"/>
        <v>Correct</v>
      </c>
      <c r="Q13" t="str">
        <f t="shared" si="1"/>
        <v>February</v>
      </c>
      <c r="R13" s="3">
        <f t="shared" si="2"/>
        <v>2024</v>
      </c>
      <c r="S13" s="3" t="str">
        <f t="shared" si="3"/>
        <v>Q1</v>
      </c>
      <c r="T13" s="3" t="str">
        <f t="shared" si="4"/>
        <v>Monitor</v>
      </c>
    </row>
    <row r="14" spans="1:20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5"/>
        <v>361</v>
      </c>
      <c r="P14" t="str">
        <f t="shared" si="0"/>
        <v>Correct</v>
      </c>
      <c r="Q14" t="str">
        <f t="shared" si="1"/>
        <v>October</v>
      </c>
      <c r="R14" s="3">
        <f t="shared" si="2"/>
        <v>2024</v>
      </c>
      <c r="S14" s="3" t="str">
        <f t="shared" si="3"/>
        <v>Q4</v>
      </c>
      <c r="T14" s="3" t="str">
        <f t="shared" si="4"/>
        <v>Monitor</v>
      </c>
    </row>
    <row r="15" spans="1:20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5"/>
        <v>604.47</v>
      </c>
      <c r="P15" t="str">
        <f t="shared" si="0"/>
        <v>Correct</v>
      </c>
      <c r="Q15" t="str">
        <f t="shared" si="1"/>
        <v>August</v>
      </c>
      <c r="R15" s="3">
        <f t="shared" si="2"/>
        <v>2023</v>
      </c>
      <c r="S15" s="3" t="str">
        <f t="shared" si="3"/>
        <v>Q3</v>
      </c>
      <c r="T15" s="3" t="str">
        <f t="shared" si="4"/>
        <v>Laptop</v>
      </c>
    </row>
    <row r="16" spans="1:20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5"/>
        <v>786.66</v>
      </c>
      <c r="P16" t="str">
        <f t="shared" si="0"/>
        <v>Correct</v>
      </c>
      <c r="Q16" t="str">
        <f t="shared" si="1"/>
        <v>March</v>
      </c>
      <c r="R16" s="3">
        <f t="shared" si="2"/>
        <v>2023</v>
      </c>
      <c r="S16" s="3" t="str">
        <f t="shared" si="3"/>
        <v>Q1</v>
      </c>
      <c r="T16" s="3" t="str">
        <f t="shared" si="4"/>
        <v>Tablet</v>
      </c>
    </row>
    <row r="17" spans="1:20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5"/>
        <v>473.96</v>
      </c>
      <c r="P17" t="str">
        <f t="shared" si="0"/>
        <v>Correct</v>
      </c>
      <c r="Q17" t="str">
        <f t="shared" si="1"/>
        <v>July</v>
      </c>
      <c r="R17" s="3">
        <f t="shared" si="2"/>
        <v>2023</v>
      </c>
      <c r="S17" s="3" t="str">
        <f t="shared" si="3"/>
        <v>Q3</v>
      </c>
      <c r="T17" s="3" t="str">
        <f t="shared" si="4"/>
        <v>Printer</v>
      </c>
    </row>
    <row r="18" spans="1:20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5"/>
        <v>1067.6199999999999</v>
      </c>
      <c r="P18" t="str">
        <f t="shared" si="0"/>
        <v>Correct</v>
      </c>
      <c r="Q18" t="str">
        <f t="shared" si="1"/>
        <v>January</v>
      </c>
      <c r="R18" s="3">
        <f t="shared" si="2"/>
        <v>2023</v>
      </c>
      <c r="S18" s="3" t="str">
        <f t="shared" si="3"/>
        <v>Q1</v>
      </c>
      <c r="T18" s="3" t="str">
        <f t="shared" si="4"/>
        <v>Printer</v>
      </c>
    </row>
    <row r="19" spans="1:20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5"/>
        <v>423.4</v>
      </c>
      <c r="P19" t="str">
        <f t="shared" si="0"/>
        <v>Correct</v>
      </c>
      <c r="Q19" t="str">
        <f t="shared" si="1"/>
        <v>March</v>
      </c>
      <c r="R19" s="3">
        <f t="shared" si="2"/>
        <v>2024</v>
      </c>
      <c r="S19" s="3" t="str">
        <f t="shared" si="3"/>
        <v>Q1</v>
      </c>
      <c r="T19" s="3" t="str">
        <f t="shared" si="4"/>
        <v>Tablet</v>
      </c>
    </row>
    <row r="20" spans="1:20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5"/>
        <v>431.44</v>
      </c>
      <c r="P20" t="str">
        <f t="shared" si="0"/>
        <v>Correct</v>
      </c>
      <c r="Q20" t="str">
        <f t="shared" si="1"/>
        <v>March</v>
      </c>
      <c r="R20" s="3">
        <f t="shared" si="2"/>
        <v>2025</v>
      </c>
      <c r="S20" s="3" t="str">
        <f t="shared" si="3"/>
        <v>Q1</v>
      </c>
      <c r="T20" s="3" t="str">
        <f t="shared" si="4"/>
        <v>Desk</v>
      </c>
    </row>
    <row r="21" spans="1:20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5"/>
        <v>1120</v>
      </c>
      <c r="P21" t="str">
        <f t="shared" si="0"/>
        <v>Correct</v>
      </c>
      <c r="Q21" t="str">
        <f t="shared" si="1"/>
        <v>January</v>
      </c>
      <c r="R21" s="3">
        <f t="shared" si="2"/>
        <v>2023</v>
      </c>
      <c r="S21" s="3" t="str">
        <f t="shared" si="3"/>
        <v>Q1</v>
      </c>
      <c r="T21" s="3" t="str">
        <f t="shared" si="4"/>
        <v>Monitor</v>
      </c>
    </row>
    <row r="22" spans="1:20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5"/>
        <v>312.55</v>
      </c>
      <c r="P22" t="str">
        <f t="shared" si="0"/>
        <v>Correct</v>
      </c>
      <c r="Q22" t="str">
        <f t="shared" si="1"/>
        <v>May</v>
      </c>
      <c r="R22" s="3">
        <f t="shared" si="2"/>
        <v>2023</v>
      </c>
      <c r="S22" s="3" t="str">
        <f t="shared" si="3"/>
        <v>Q2</v>
      </c>
      <c r="T22" s="3" t="str">
        <f t="shared" si="4"/>
        <v>Chair</v>
      </c>
    </row>
    <row r="23" spans="1:20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5"/>
        <v>1371.8</v>
      </c>
      <c r="P23" t="str">
        <f t="shared" si="0"/>
        <v>Correct</v>
      </c>
      <c r="Q23" t="str">
        <f t="shared" si="1"/>
        <v>November</v>
      </c>
      <c r="R23" s="3">
        <f t="shared" si="2"/>
        <v>2024</v>
      </c>
      <c r="S23" s="3" t="str">
        <f t="shared" si="3"/>
        <v>Q4</v>
      </c>
      <c r="T23" s="3" t="str">
        <f t="shared" si="4"/>
        <v>Monitor</v>
      </c>
    </row>
    <row r="24" spans="1:20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5"/>
        <v>99.24</v>
      </c>
      <c r="P24" t="str">
        <f t="shared" si="0"/>
        <v>Correct</v>
      </c>
      <c r="Q24" t="str">
        <f t="shared" si="1"/>
        <v>January</v>
      </c>
      <c r="R24" s="3">
        <f t="shared" si="2"/>
        <v>2023</v>
      </c>
      <c r="S24" s="3" t="str">
        <f t="shared" si="3"/>
        <v>Q1</v>
      </c>
      <c r="T24" s="3" t="str">
        <f t="shared" si="4"/>
        <v>Monitor</v>
      </c>
    </row>
    <row r="25" spans="1:20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5"/>
        <v>1093</v>
      </c>
      <c r="P25" t="str">
        <f t="shared" si="0"/>
        <v>Correct</v>
      </c>
      <c r="Q25" t="str">
        <f t="shared" si="1"/>
        <v>April</v>
      </c>
      <c r="R25" s="3">
        <f t="shared" si="2"/>
        <v>2025</v>
      </c>
      <c r="S25" s="3" t="str">
        <f t="shared" si="3"/>
        <v>Q2</v>
      </c>
      <c r="T25" s="3" t="str">
        <f t="shared" si="4"/>
        <v>Phone</v>
      </c>
    </row>
    <row r="26" spans="1:20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5"/>
        <v>461.9</v>
      </c>
      <c r="P26" t="str">
        <f t="shared" si="0"/>
        <v>Correct</v>
      </c>
      <c r="Q26" t="str">
        <f t="shared" si="1"/>
        <v>October</v>
      </c>
      <c r="R26" s="3">
        <f t="shared" si="2"/>
        <v>2024</v>
      </c>
      <c r="S26" s="3" t="str">
        <f t="shared" si="3"/>
        <v>Q4</v>
      </c>
      <c r="T26" s="3" t="str">
        <f t="shared" si="4"/>
        <v>Laptop</v>
      </c>
    </row>
    <row r="27" spans="1:20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5"/>
        <v>399.98</v>
      </c>
      <c r="P27" t="str">
        <f t="shared" si="0"/>
        <v>Correct</v>
      </c>
      <c r="Q27" t="str">
        <f t="shared" si="1"/>
        <v>July</v>
      </c>
      <c r="R27" s="3">
        <f t="shared" si="2"/>
        <v>2024</v>
      </c>
      <c r="S27" s="3" t="str">
        <f t="shared" si="3"/>
        <v>Q3</v>
      </c>
      <c r="T27" s="3" t="str">
        <f t="shared" si="4"/>
        <v>Monitor</v>
      </c>
    </row>
    <row r="28" spans="1:20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5"/>
        <v>297.75</v>
      </c>
      <c r="P28" t="str">
        <f t="shared" si="0"/>
        <v>Correct</v>
      </c>
      <c r="Q28" t="str">
        <f t="shared" si="1"/>
        <v>March</v>
      </c>
      <c r="R28" s="3">
        <f t="shared" si="2"/>
        <v>2024</v>
      </c>
      <c r="S28" s="3" t="str">
        <f t="shared" si="3"/>
        <v>Q1</v>
      </c>
      <c r="T28" s="3" t="str">
        <f t="shared" si="4"/>
        <v>Laptop</v>
      </c>
    </row>
    <row r="29" spans="1:20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5"/>
        <v>472.74</v>
      </c>
      <c r="P29" t="str">
        <f t="shared" si="0"/>
        <v>Correct</v>
      </c>
      <c r="Q29" t="str">
        <f t="shared" si="1"/>
        <v>February</v>
      </c>
      <c r="R29" s="3">
        <f t="shared" si="2"/>
        <v>2024</v>
      </c>
      <c r="S29" s="3" t="str">
        <f t="shared" si="3"/>
        <v>Q1</v>
      </c>
      <c r="T29" s="3" t="str">
        <f t="shared" si="4"/>
        <v>Printer</v>
      </c>
    </row>
    <row r="30" spans="1:20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5"/>
        <v>640.28</v>
      </c>
      <c r="P30" t="str">
        <f t="shared" si="0"/>
        <v>Correct</v>
      </c>
      <c r="Q30" t="str">
        <f t="shared" si="1"/>
        <v>November</v>
      </c>
      <c r="R30" s="3">
        <f t="shared" si="2"/>
        <v>2023</v>
      </c>
      <c r="S30" s="3" t="str">
        <f t="shared" si="3"/>
        <v>Q4</v>
      </c>
      <c r="T30" s="3" t="str">
        <f t="shared" si="4"/>
        <v>Phone</v>
      </c>
    </row>
    <row r="31" spans="1:20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5"/>
        <v>1270.5899999999999</v>
      </c>
      <c r="P31" t="str">
        <f t="shared" si="0"/>
        <v>Correct</v>
      </c>
      <c r="Q31" t="str">
        <f t="shared" si="1"/>
        <v>September</v>
      </c>
      <c r="R31" s="3">
        <f t="shared" si="2"/>
        <v>2024</v>
      </c>
      <c r="S31" s="3" t="str">
        <f t="shared" si="3"/>
        <v>Q3</v>
      </c>
      <c r="T31" s="3" t="str">
        <f t="shared" si="4"/>
        <v>Desk</v>
      </c>
    </row>
    <row r="32" spans="1:20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5"/>
        <v>853.4</v>
      </c>
      <c r="P32" t="str">
        <f t="shared" si="0"/>
        <v>Correct</v>
      </c>
      <c r="Q32" t="str">
        <f t="shared" si="1"/>
        <v>March</v>
      </c>
      <c r="R32" s="3">
        <f t="shared" si="2"/>
        <v>2025</v>
      </c>
      <c r="S32" s="3" t="str">
        <f t="shared" si="3"/>
        <v>Q1</v>
      </c>
      <c r="T32" s="3" t="str">
        <f t="shared" si="4"/>
        <v>Monitor</v>
      </c>
    </row>
    <row r="33" spans="1:20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5"/>
        <v>1500.24</v>
      </c>
      <c r="P33" t="str">
        <f t="shared" si="0"/>
        <v>Correct</v>
      </c>
      <c r="Q33" t="str">
        <f t="shared" si="1"/>
        <v>June</v>
      </c>
      <c r="R33" s="3">
        <f t="shared" si="2"/>
        <v>2023</v>
      </c>
      <c r="S33" s="3" t="str">
        <f t="shared" si="3"/>
        <v>Q2</v>
      </c>
      <c r="T33" s="3" t="str">
        <f t="shared" si="4"/>
        <v>Chair</v>
      </c>
    </row>
    <row r="34" spans="1:20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5"/>
        <v>2683.6000000000004</v>
      </c>
      <c r="P34" t="str">
        <f t="shared" si="0"/>
        <v>Correct</v>
      </c>
      <c r="Q34" t="str">
        <f t="shared" si="1"/>
        <v>May</v>
      </c>
      <c r="R34" s="3">
        <f t="shared" si="2"/>
        <v>2023</v>
      </c>
      <c r="S34" s="3" t="str">
        <f t="shared" si="3"/>
        <v>Q2</v>
      </c>
      <c r="T34" s="3" t="str">
        <f t="shared" si="4"/>
        <v>Tablet</v>
      </c>
    </row>
    <row r="35" spans="1:20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4283</v>
      </c>
      <c r="M35" t="s">
        <v>4281</v>
      </c>
      <c r="N35">
        <v>162.77000000000001</v>
      </c>
      <c r="O35">
        <f t="shared" si="5"/>
        <v>162.77000000000001</v>
      </c>
      <c r="P35" t="str">
        <f t="shared" si="0"/>
        <v>Correct</v>
      </c>
      <c r="Q35" t="str">
        <f t="shared" si="1"/>
        <v>June</v>
      </c>
      <c r="R35" s="3">
        <f t="shared" si="2"/>
        <v>2023</v>
      </c>
      <c r="S35" s="3" t="str">
        <f t="shared" si="3"/>
        <v>Q2</v>
      </c>
      <c r="T35" s="3" t="str">
        <f t="shared" si="4"/>
        <v>Chair</v>
      </c>
    </row>
    <row r="36" spans="1:20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5"/>
        <v>2306.08</v>
      </c>
      <c r="P36" t="str">
        <f t="shared" si="0"/>
        <v>Correct</v>
      </c>
      <c r="Q36" t="str">
        <f t="shared" si="1"/>
        <v>January</v>
      </c>
      <c r="R36" s="3">
        <f t="shared" si="2"/>
        <v>2023</v>
      </c>
      <c r="S36" s="3" t="str">
        <f t="shared" si="3"/>
        <v>Q1</v>
      </c>
      <c r="T36" s="3" t="str">
        <f t="shared" si="4"/>
        <v>Chair</v>
      </c>
    </row>
    <row r="37" spans="1:20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5"/>
        <v>930.3</v>
      </c>
      <c r="P37" t="str">
        <f t="shared" si="0"/>
        <v>Correct</v>
      </c>
      <c r="Q37" t="str">
        <f t="shared" si="1"/>
        <v>December</v>
      </c>
      <c r="R37" s="3">
        <f t="shared" si="2"/>
        <v>2024</v>
      </c>
      <c r="S37" s="3" t="str">
        <f t="shared" si="3"/>
        <v>Q4</v>
      </c>
      <c r="T37" s="3" t="str">
        <f t="shared" si="4"/>
        <v>Monitor</v>
      </c>
    </row>
    <row r="38" spans="1:20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5"/>
        <v>1068.8599999999999</v>
      </c>
      <c r="P38" t="str">
        <f t="shared" si="0"/>
        <v>Correct</v>
      </c>
      <c r="Q38" t="str">
        <f t="shared" si="1"/>
        <v>May</v>
      </c>
      <c r="R38" s="3">
        <f t="shared" si="2"/>
        <v>2025</v>
      </c>
      <c r="S38" s="3" t="str">
        <f t="shared" si="3"/>
        <v>Q2</v>
      </c>
      <c r="T38" s="3" t="str">
        <f t="shared" si="4"/>
        <v>Laptop</v>
      </c>
    </row>
    <row r="39" spans="1:20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5"/>
        <v>153.47999999999999</v>
      </c>
      <c r="P39" t="str">
        <f t="shared" si="0"/>
        <v>Correct</v>
      </c>
      <c r="Q39" t="str">
        <f t="shared" si="1"/>
        <v>October</v>
      </c>
      <c r="R39" s="3">
        <f t="shared" si="2"/>
        <v>2024</v>
      </c>
      <c r="S39" s="3" t="str">
        <f t="shared" si="3"/>
        <v>Q4</v>
      </c>
      <c r="T39" s="3" t="str">
        <f t="shared" si="4"/>
        <v>Laptop</v>
      </c>
    </row>
    <row r="40" spans="1:20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5"/>
        <v>245.89</v>
      </c>
      <c r="P40" t="str">
        <f t="shared" si="0"/>
        <v>Correct</v>
      </c>
      <c r="Q40" t="str">
        <f t="shared" si="1"/>
        <v>December</v>
      </c>
      <c r="R40" s="3">
        <f t="shared" si="2"/>
        <v>2024</v>
      </c>
      <c r="S40" s="3" t="str">
        <f t="shared" si="3"/>
        <v>Q4</v>
      </c>
      <c r="T40" s="3" t="str">
        <f t="shared" si="4"/>
        <v>Laptop</v>
      </c>
    </row>
    <row r="41" spans="1:20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5"/>
        <v>769.37999999999988</v>
      </c>
      <c r="P41" t="str">
        <f t="shared" si="0"/>
        <v>Correct</v>
      </c>
      <c r="Q41" t="str">
        <f t="shared" si="1"/>
        <v>February</v>
      </c>
      <c r="R41" s="3">
        <f t="shared" si="2"/>
        <v>2025</v>
      </c>
      <c r="S41" s="3" t="str">
        <f t="shared" si="3"/>
        <v>Q1</v>
      </c>
      <c r="T41" s="3" t="str">
        <f t="shared" si="4"/>
        <v>Printer</v>
      </c>
    </row>
    <row r="42" spans="1:20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5"/>
        <v>688.04</v>
      </c>
      <c r="P42" t="str">
        <f t="shared" si="0"/>
        <v>Correct</v>
      </c>
      <c r="Q42" t="str">
        <f t="shared" si="1"/>
        <v>August</v>
      </c>
      <c r="R42" s="3">
        <f t="shared" si="2"/>
        <v>2023</v>
      </c>
      <c r="S42" s="3" t="str">
        <f t="shared" si="3"/>
        <v>Q3</v>
      </c>
      <c r="T42" s="3" t="str">
        <f t="shared" si="4"/>
        <v>Desk</v>
      </c>
    </row>
    <row r="43" spans="1:20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5"/>
        <v>1834.3500000000001</v>
      </c>
      <c r="P43" t="str">
        <f t="shared" si="0"/>
        <v>Correct</v>
      </c>
      <c r="Q43" t="str">
        <f t="shared" si="1"/>
        <v>December</v>
      </c>
      <c r="R43" s="3">
        <f t="shared" si="2"/>
        <v>2023</v>
      </c>
      <c r="S43" s="3" t="str">
        <f t="shared" si="3"/>
        <v>Q4</v>
      </c>
      <c r="T43" s="3" t="str">
        <f t="shared" si="4"/>
        <v>Monitor</v>
      </c>
    </row>
    <row r="44" spans="1:20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5"/>
        <v>303.32</v>
      </c>
      <c r="P44" t="str">
        <f t="shared" si="0"/>
        <v>Correct</v>
      </c>
      <c r="Q44" t="str">
        <f t="shared" si="1"/>
        <v>May</v>
      </c>
      <c r="R44" s="3">
        <f t="shared" si="2"/>
        <v>2024</v>
      </c>
      <c r="S44" s="3" t="str">
        <f t="shared" si="3"/>
        <v>Q2</v>
      </c>
      <c r="T44" s="3" t="str">
        <f t="shared" si="4"/>
        <v>Printer</v>
      </c>
    </row>
    <row r="45" spans="1:20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5"/>
        <v>1497.6299999999999</v>
      </c>
      <c r="P45" t="str">
        <f t="shared" si="0"/>
        <v>Correct</v>
      </c>
      <c r="Q45" t="str">
        <f t="shared" si="1"/>
        <v>December</v>
      </c>
      <c r="R45" s="3">
        <f t="shared" si="2"/>
        <v>2023</v>
      </c>
      <c r="S45" s="3" t="str">
        <f t="shared" si="3"/>
        <v>Q4</v>
      </c>
      <c r="T45" s="3" t="str">
        <f t="shared" si="4"/>
        <v>Chair</v>
      </c>
    </row>
    <row r="46" spans="1:20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5"/>
        <v>1100.3599999999999</v>
      </c>
      <c r="P46" t="str">
        <f t="shared" si="0"/>
        <v>Correct</v>
      </c>
      <c r="Q46" t="str">
        <f t="shared" si="1"/>
        <v>April</v>
      </c>
      <c r="R46" s="3">
        <f t="shared" si="2"/>
        <v>2025</v>
      </c>
      <c r="S46" s="3" t="str">
        <f t="shared" si="3"/>
        <v>Q2</v>
      </c>
      <c r="T46" s="3" t="str">
        <f t="shared" si="4"/>
        <v>Phone</v>
      </c>
    </row>
    <row r="47" spans="1:20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5"/>
        <v>317.25</v>
      </c>
      <c r="P47" t="str">
        <f t="shared" si="0"/>
        <v>Correct</v>
      </c>
      <c r="Q47" t="str">
        <f t="shared" si="1"/>
        <v>February</v>
      </c>
      <c r="R47" s="3">
        <f t="shared" si="2"/>
        <v>2024</v>
      </c>
      <c r="S47" s="3" t="str">
        <f t="shared" si="3"/>
        <v>Q1</v>
      </c>
      <c r="T47" s="3" t="str">
        <f t="shared" si="4"/>
        <v>Chair</v>
      </c>
    </row>
    <row r="48" spans="1:20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5"/>
        <v>2200.56</v>
      </c>
      <c r="P48" t="str">
        <f t="shared" si="0"/>
        <v>Correct</v>
      </c>
      <c r="Q48" t="str">
        <f t="shared" si="1"/>
        <v>June</v>
      </c>
      <c r="R48" s="3">
        <f t="shared" si="2"/>
        <v>2024</v>
      </c>
      <c r="S48" s="3" t="str">
        <f t="shared" si="3"/>
        <v>Q2</v>
      </c>
      <c r="T48" s="3" t="str">
        <f t="shared" si="4"/>
        <v>Monitor</v>
      </c>
    </row>
    <row r="49" spans="1:20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5"/>
        <v>419.88</v>
      </c>
      <c r="P49" t="str">
        <f t="shared" si="0"/>
        <v>Correct</v>
      </c>
      <c r="Q49" t="str">
        <f t="shared" si="1"/>
        <v>July</v>
      </c>
      <c r="R49" s="3">
        <f t="shared" si="2"/>
        <v>2023</v>
      </c>
      <c r="S49" s="3" t="str">
        <f t="shared" si="3"/>
        <v>Q3</v>
      </c>
      <c r="T49" s="3" t="str">
        <f t="shared" si="4"/>
        <v>Desk</v>
      </c>
    </row>
    <row r="50" spans="1:20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5"/>
        <v>161.54</v>
      </c>
      <c r="P50" t="str">
        <f t="shared" si="0"/>
        <v>Correct</v>
      </c>
      <c r="Q50" t="str">
        <f t="shared" si="1"/>
        <v>August</v>
      </c>
      <c r="R50" s="3">
        <f t="shared" si="2"/>
        <v>2023</v>
      </c>
      <c r="S50" s="3" t="str">
        <f t="shared" si="3"/>
        <v>Q3</v>
      </c>
      <c r="T50" s="3" t="str">
        <f t="shared" si="4"/>
        <v>Monitor</v>
      </c>
    </row>
    <row r="51" spans="1:20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5"/>
        <v>30.44</v>
      </c>
      <c r="P51" t="str">
        <f t="shared" si="0"/>
        <v>Correct</v>
      </c>
      <c r="Q51" t="str">
        <f t="shared" si="1"/>
        <v>October</v>
      </c>
      <c r="R51" s="3">
        <f t="shared" si="2"/>
        <v>2023</v>
      </c>
      <c r="S51" s="3" t="str">
        <f t="shared" si="3"/>
        <v>Q4</v>
      </c>
      <c r="T51" s="3" t="str">
        <f t="shared" si="4"/>
        <v>Printer</v>
      </c>
    </row>
    <row r="52" spans="1:20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5"/>
        <v>179.22</v>
      </c>
      <c r="P52" t="str">
        <f t="shared" si="0"/>
        <v>Correct</v>
      </c>
      <c r="Q52" t="str">
        <f t="shared" si="1"/>
        <v>July</v>
      </c>
      <c r="R52" s="3">
        <f t="shared" si="2"/>
        <v>2023</v>
      </c>
      <c r="S52" s="3" t="str">
        <f t="shared" si="3"/>
        <v>Q3</v>
      </c>
      <c r="T52" s="3" t="str">
        <f t="shared" si="4"/>
        <v>Tablet</v>
      </c>
    </row>
    <row r="53" spans="1:20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5"/>
        <v>388.33</v>
      </c>
      <c r="P53" t="str">
        <f t="shared" si="0"/>
        <v>Correct</v>
      </c>
      <c r="Q53" t="str">
        <f t="shared" si="1"/>
        <v>December</v>
      </c>
      <c r="R53" s="3">
        <f t="shared" si="2"/>
        <v>2024</v>
      </c>
      <c r="S53" s="3" t="str">
        <f t="shared" si="3"/>
        <v>Q4</v>
      </c>
      <c r="T53" s="3" t="str">
        <f t="shared" si="4"/>
        <v>Tablet</v>
      </c>
    </row>
    <row r="54" spans="1:20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5"/>
        <v>586.44000000000005</v>
      </c>
      <c r="P54" t="str">
        <f t="shared" si="0"/>
        <v>Correct</v>
      </c>
      <c r="Q54" t="str">
        <f t="shared" si="1"/>
        <v>September</v>
      </c>
      <c r="R54" s="3">
        <f t="shared" si="2"/>
        <v>2024</v>
      </c>
      <c r="S54" s="3" t="str">
        <f t="shared" si="3"/>
        <v>Q3</v>
      </c>
      <c r="T54" s="3" t="str">
        <f t="shared" si="4"/>
        <v>Tablet</v>
      </c>
    </row>
    <row r="55" spans="1:20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5"/>
        <v>1955.12</v>
      </c>
      <c r="P55" t="str">
        <f t="shared" si="0"/>
        <v>Correct</v>
      </c>
      <c r="Q55" t="str">
        <f t="shared" si="1"/>
        <v>May</v>
      </c>
      <c r="R55" s="3">
        <f t="shared" si="2"/>
        <v>2024</v>
      </c>
      <c r="S55" s="3" t="str">
        <f t="shared" si="3"/>
        <v>Q2</v>
      </c>
      <c r="T55" s="3" t="str">
        <f t="shared" si="4"/>
        <v>Phone</v>
      </c>
    </row>
    <row r="56" spans="1:20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5"/>
        <v>280.25</v>
      </c>
      <c r="P56" t="str">
        <f t="shared" si="0"/>
        <v>Correct</v>
      </c>
      <c r="Q56" t="str">
        <f t="shared" si="1"/>
        <v>March</v>
      </c>
      <c r="R56" s="3">
        <f t="shared" si="2"/>
        <v>2025</v>
      </c>
      <c r="S56" s="3" t="str">
        <f t="shared" si="3"/>
        <v>Q1</v>
      </c>
      <c r="T56" s="3" t="str">
        <f t="shared" si="4"/>
        <v>Chair</v>
      </c>
    </row>
    <row r="57" spans="1:20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5"/>
        <v>1033.1999999999998</v>
      </c>
      <c r="P57" t="str">
        <f t="shared" si="0"/>
        <v>Correct</v>
      </c>
      <c r="Q57" t="str">
        <f t="shared" si="1"/>
        <v>June</v>
      </c>
      <c r="R57" s="3">
        <f t="shared" si="2"/>
        <v>2025</v>
      </c>
      <c r="S57" s="3" t="str">
        <f t="shared" si="3"/>
        <v>Q2</v>
      </c>
      <c r="T57" s="3" t="str">
        <f t="shared" si="4"/>
        <v>Printer</v>
      </c>
    </row>
    <row r="58" spans="1:20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5"/>
        <v>1437.6299999999999</v>
      </c>
      <c r="P58" t="str">
        <f t="shared" si="0"/>
        <v>Correct</v>
      </c>
      <c r="Q58" t="str">
        <f t="shared" si="1"/>
        <v>May</v>
      </c>
      <c r="R58" s="3">
        <f t="shared" si="2"/>
        <v>2023</v>
      </c>
      <c r="S58" s="3" t="str">
        <f t="shared" si="3"/>
        <v>Q2</v>
      </c>
      <c r="T58" s="3" t="str">
        <f t="shared" si="4"/>
        <v>Tablet</v>
      </c>
    </row>
    <row r="59" spans="1:20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5"/>
        <v>1571.35</v>
      </c>
      <c r="P59" t="str">
        <f t="shared" si="0"/>
        <v>Correct</v>
      </c>
      <c r="Q59" t="str">
        <f t="shared" si="1"/>
        <v>January</v>
      </c>
      <c r="R59" s="3">
        <f t="shared" si="2"/>
        <v>2023</v>
      </c>
      <c r="S59" s="3" t="str">
        <f t="shared" si="3"/>
        <v>Q1</v>
      </c>
      <c r="T59" s="3" t="str">
        <f t="shared" si="4"/>
        <v>Printer</v>
      </c>
    </row>
    <row r="60" spans="1:20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5"/>
        <v>1898.76</v>
      </c>
      <c r="P60" t="str">
        <f t="shared" si="0"/>
        <v>Correct</v>
      </c>
      <c r="Q60" t="str">
        <f t="shared" si="1"/>
        <v>January</v>
      </c>
      <c r="R60" s="3">
        <f t="shared" si="2"/>
        <v>2023</v>
      </c>
      <c r="S60" s="3" t="str">
        <f t="shared" si="3"/>
        <v>Q1</v>
      </c>
      <c r="T60" s="3" t="str">
        <f t="shared" si="4"/>
        <v>Phone</v>
      </c>
    </row>
    <row r="61" spans="1:20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5"/>
        <v>2373.08</v>
      </c>
      <c r="P61" t="str">
        <f t="shared" si="0"/>
        <v>Correct</v>
      </c>
      <c r="Q61" t="str">
        <f t="shared" si="1"/>
        <v>September</v>
      </c>
      <c r="R61" s="3">
        <f t="shared" si="2"/>
        <v>2024</v>
      </c>
      <c r="S61" s="3" t="str">
        <f t="shared" si="3"/>
        <v>Q3</v>
      </c>
      <c r="T61" s="3" t="str">
        <f t="shared" si="4"/>
        <v>Chair</v>
      </c>
    </row>
    <row r="62" spans="1:20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5"/>
        <v>417.1</v>
      </c>
      <c r="P62" t="str">
        <f t="shared" si="0"/>
        <v>Correct</v>
      </c>
      <c r="Q62" t="str">
        <f t="shared" si="1"/>
        <v>August</v>
      </c>
      <c r="R62" s="3">
        <f t="shared" si="2"/>
        <v>2024</v>
      </c>
      <c r="S62" s="3" t="str">
        <f t="shared" si="3"/>
        <v>Q3</v>
      </c>
      <c r="T62" s="3" t="str">
        <f t="shared" si="4"/>
        <v>Desk</v>
      </c>
    </row>
    <row r="63" spans="1:20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5"/>
        <v>488.8</v>
      </c>
      <c r="P63" t="str">
        <f t="shared" si="0"/>
        <v>Correct</v>
      </c>
      <c r="Q63" t="str">
        <f t="shared" si="1"/>
        <v>March</v>
      </c>
      <c r="R63" s="3">
        <f t="shared" si="2"/>
        <v>2024</v>
      </c>
      <c r="S63" s="3" t="str">
        <f t="shared" si="3"/>
        <v>Q1</v>
      </c>
      <c r="T63" s="3" t="str">
        <f t="shared" si="4"/>
        <v>Desk</v>
      </c>
    </row>
    <row r="64" spans="1:20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5"/>
        <v>86.3</v>
      </c>
      <c r="P64" t="str">
        <f t="shared" si="0"/>
        <v>Correct</v>
      </c>
      <c r="Q64" t="str">
        <f t="shared" si="1"/>
        <v>August</v>
      </c>
      <c r="R64" s="3">
        <f t="shared" si="2"/>
        <v>2023</v>
      </c>
      <c r="S64" s="3" t="str">
        <f t="shared" si="3"/>
        <v>Q3</v>
      </c>
      <c r="T64" s="3" t="str">
        <f t="shared" si="4"/>
        <v>Desk</v>
      </c>
    </row>
    <row r="65" spans="1:20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5"/>
        <v>564.86</v>
      </c>
      <c r="P65" t="str">
        <f t="shared" si="0"/>
        <v>Correct</v>
      </c>
      <c r="Q65" t="str">
        <f t="shared" si="1"/>
        <v>February</v>
      </c>
      <c r="R65" s="3">
        <f t="shared" si="2"/>
        <v>2025</v>
      </c>
      <c r="S65" s="3" t="str">
        <f t="shared" si="3"/>
        <v>Q1</v>
      </c>
      <c r="T65" s="3" t="str">
        <f t="shared" si="4"/>
        <v>Chair</v>
      </c>
    </row>
    <row r="66" spans="1:20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5"/>
        <v>391.83000000000004</v>
      </c>
      <c r="P66" t="str">
        <f t="shared" ref="P66:P129" si="6">IF(O66=N66,"Correct","Error")</f>
        <v>Correct</v>
      </c>
      <c r="Q66" t="str">
        <f t="shared" ref="Q66:Q129" si="7">TEXT(B66,"MMMM")</f>
        <v>June</v>
      </c>
      <c r="R66" s="3">
        <f t="shared" ref="R66:R129" si="8">YEAR(B66)</f>
        <v>2025</v>
      </c>
      <c r="S66" s="3" t="str">
        <f t="shared" ref="S66:S129" si="9">"Q"&amp;ROUNDUP(MONTH(B66)/3,0)</f>
        <v>Q2</v>
      </c>
      <c r="T66" s="3" t="str">
        <f t="shared" ref="T66:T129" si="10">TRIM(D66)</f>
        <v>Printer</v>
      </c>
    </row>
    <row r="67" spans="1:20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1">E67*F67</f>
        <v>408.5</v>
      </c>
      <c r="P67" t="str">
        <f t="shared" si="6"/>
        <v>Correct</v>
      </c>
      <c r="Q67" t="str">
        <f t="shared" si="7"/>
        <v>December</v>
      </c>
      <c r="R67" s="3">
        <f t="shared" si="8"/>
        <v>2023</v>
      </c>
      <c r="S67" s="3" t="str">
        <f t="shared" si="9"/>
        <v>Q4</v>
      </c>
      <c r="T67" s="3" t="str">
        <f t="shared" si="10"/>
        <v>Monitor</v>
      </c>
    </row>
    <row r="68" spans="1:20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1"/>
        <v>635.90000000000009</v>
      </c>
      <c r="P68" t="str">
        <f t="shared" si="6"/>
        <v>Correct</v>
      </c>
      <c r="Q68" t="str">
        <f t="shared" si="7"/>
        <v>November</v>
      </c>
      <c r="R68" s="3">
        <f t="shared" si="8"/>
        <v>2024</v>
      </c>
      <c r="S68" s="3" t="str">
        <f t="shared" si="9"/>
        <v>Q4</v>
      </c>
      <c r="T68" s="3" t="str">
        <f t="shared" si="10"/>
        <v>Chair</v>
      </c>
    </row>
    <row r="69" spans="1:20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1"/>
        <v>48.4</v>
      </c>
      <c r="P69" t="str">
        <f t="shared" si="6"/>
        <v>Correct</v>
      </c>
      <c r="Q69" t="str">
        <f t="shared" si="7"/>
        <v>December</v>
      </c>
      <c r="R69" s="3">
        <f t="shared" si="8"/>
        <v>2024</v>
      </c>
      <c r="S69" s="3" t="str">
        <f t="shared" si="9"/>
        <v>Q4</v>
      </c>
      <c r="T69" s="3" t="str">
        <f t="shared" si="10"/>
        <v>Printer</v>
      </c>
    </row>
    <row r="70" spans="1:20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1"/>
        <v>1472.76</v>
      </c>
      <c r="P70" t="str">
        <f t="shared" si="6"/>
        <v>Correct</v>
      </c>
      <c r="Q70" t="str">
        <f t="shared" si="7"/>
        <v>December</v>
      </c>
      <c r="R70" s="3">
        <f t="shared" si="8"/>
        <v>2023</v>
      </c>
      <c r="S70" s="3" t="str">
        <f t="shared" si="9"/>
        <v>Q4</v>
      </c>
      <c r="T70" s="3" t="str">
        <f t="shared" si="10"/>
        <v>Chair</v>
      </c>
    </row>
    <row r="71" spans="1:20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1"/>
        <v>1435.9499999999998</v>
      </c>
      <c r="P71" t="str">
        <f t="shared" si="6"/>
        <v>Correct</v>
      </c>
      <c r="Q71" t="str">
        <f t="shared" si="7"/>
        <v>May</v>
      </c>
      <c r="R71" s="3">
        <f t="shared" si="8"/>
        <v>2023</v>
      </c>
      <c r="S71" s="3" t="str">
        <f t="shared" si="9"/>
        <v>Q2</v>
      </c>
      <c r="T71" s="3" t="str">
        <f t="shared" si="10"/>
        <v>Monitor</v>
      </c>
    </row>
    <row r="72" spans="1:20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1"/>
        <v>629.21</v>
      </c>
      <c r="P72" t="str">
        <f t="shared" si="6"/>
        <v>Correct</v>
      </c>
      <c r="Q72" t="str">
        <f t="shared" si="7"/>
        <v>May</v>
      </c>
      <c r="R72" s="3">
        <f t="shared" si="8"/>
        <v>2023</v>
      </c>
      <c r="S72" s="3" t="str">
        <f t="shared" si="9"/>
        <v>Q2</v>
      </c>
      <c r="T72" s="3" t="str">
        <f t="shared" si="10"/>
        <v>Desk</v>
      </c>
    </row>
    <row r="73" spans="1:20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1"/>
        <v>1303.3499999999999</v>
      </c>
      <c r="P73" t="str">
        <f t="shared" si="6"/>
        <v>Correct</v>
      </c>
      <c r="Q73" t="str">
        <f t="shared" si="7"/>
        <v>June</v>
      </c>
      <c r="R73" s="3">
        <f t="shared" si="8"/>
        <v>2025</v>
      </c>
      <c r="S73" s="3" t="str">
        <f t="shared" si="9"/>
        <v>Q2</v>
      </c>
      <c r="T73" s="3" t="str">
        <f t="shared" si="10"/>
        <v>Monitor</v>
      </c>
    </row>
    <row r="74" spans="1:20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1"/>
        <v>2357.7600000000002</v>
      </c>
      <c r="P74" t="str">
        <f t="shared" si="6"/>
        <v>Correct</v>
      </c>
      <c r="Q74" t="str">
        <f t="shared" si="7"/>
        <v>December</v>
      </c>
      <c r="R74" s="3">
        <f t="shared" si="8"/>
        <v>2024</v>
      </c>
      <c r="S74" s="3" t="str">
        <f t="shared" si="9"/>
        <v>Q4</v>
      </c>
      <c r="T74" s="3" t="str">
        <f t="shared" si="10"/>
        <v>Tablet</v>
      </c>
    </row>
    <row r="75" spans="1:20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1"/>
        <v>1733.8</v>
      </c>
      <c r="P75" t="str">
        <f t="shared" si="6"/>
        <v>Correct</v>
      </c>
      <c r="Q75" t="str">
        <f t="shared" si="7"/>
        <v>May</v>
      </c>
      <c r="R75" s="3">
        <f t="shared" si="8"/>
        <v>2023</v>
      </c>
      <c r="S75" s="3" t="str">
        <f t="shared" si="9"/>
        <v>Q2</v>
      </c>
      <c r="T75" s="3" t="str">
        <f t="shared" si="10"/>
        <v>Monitor</v>
      </c>
    </row>
    <row r="76" spans="1:20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1"/>
        <v>454.35</v>
      </c>
      <c r="P76" t="str">
        <f t="shared" si="6"/>
        <v>Correct</v>
      </c>
      <c r="Q76" t="str">
        <f t="shared" si="7"/>
        <v>June</v>
      </c>
      <c r="R76" s="3">
        <f t="shared" si="8"/>
        <v>2023</v>
      </c>
      <c r="S76" s="3" t="str">
        <f t="shared" si="9"/>
        <v>Q2</v>
      </c>
      <c r="T76" s="3" t="str">
        <f t="shared" si="10"/>
        <v>Phone</v>
      </c>
    </row>
    <row r="77" spans="1:20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1"/>
        <v>1194.51</v>
      </c>
      <c r="P77" t="str">
        <f t="shared" si="6"/>
        <v>Correct</v>
      </c>
      <c r="Q77" t="str">
        <f t="shared" si="7"/>
        <v>September</v>
      </c>
      <c r="R77" s="3">
        <f t="shared" si="8"/>
        <v>2023</v>
      </c>
      <c r="S77" s="3" t="str">
        <f t="shared" si="9"/>
        <v>Q3</v>
      </c>
      <c r="T77" s="3" t="str">
        <f t="shared" si="10"/>
        <v>Tablet</v>
      </c>
    </row>
    <row r="78" spans="1:20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1"/>
        <v>1531.52</v>
      </c>
      <c r="P78" t="str">
        <f t="shared" si="6"/>
        <v>Correct</v>
      </c>
      <c r="Q78" t="str">
        <f t="shared" si="7"/>
        <v>March</v>
      </c>
      <c r="R78" s="3">
        <f t="shared" si="8"/>
        <v>2024</v>
      </c>
      <c r="S78" s="3" t="str">
        <f t="shared" si="9"/>
        <v>Q1</v>
      </c>
      <c r="T78" s="3" t="str">
        <f t="shared" si="10"/>
        <v>Laptop</v>
      </c>
    </row>
    <row r="79" spans="1:20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1"/>
        <v>583.17999999999995</v>
      </c>
      <c r="P79" t="str">
        <f t="shared" si="6"/>
        <v>Correct</v>
      </c>
      <c r="Q79" t="str">
        <f t="shared" si="7"/>
        <v>May</v>
      </c>
      <c r="R79" s="3">
        <f t="shared" si="8"/>
        <v>2024</v>
      </c>
      <c r="S79" s="3" t="str">
        <f t="shared" si="9"/>
        <v>Q2</v>
      </c>
      <c r="T79" s="3" t="str">
        <f t="shared" si="10"/>
        <v>Phone</v>
      </c>
    </row>
    <row r="80" spans="1:20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1"/>
        <v>701.44</v>
      </c>
      <c r="P80" t="str">
        <f t="shared" si="6"/>
        <v>Correct</v>
      </c>
      <c r="Q80" t="str">
        <f t="shared" si="7"/>
        <v>August</v>
      </c>
      <c r="R80" s="3">
        <f t="shared" si="8"/>
        <v>2024</v>
      </c>
      <c r="S80" s="3" t="str">
        <f t="shared" si="9"/>
        <v>Q3</v>
      </c>
      <c r="T80" s="3" t="str">
        <f t="shared" si="10"/>
        <v>Printer</v>
      </c>
    </row>
    <row r="81" spans="1:20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1"/>
        <v>623.82000000000005</v>
      </c>
      <c r="P81" t="str">
        <f t="shared" si="6"/>
        <v>Correct</v>
      </c>
      <c r="Q81" t="str">
        <f t="shared" si="7"/>
        <v>March</v>
      </c>
      <c r="R81" s="3">
        <f t="shared" si="8"/>
        <v>2025</v>
      </c>
      <c r="S81" s="3" t="str">
        <f t="shared" si="9"/>
        <v>Q1</v>
      </c>
      <c r="T81" s="3" t="str">
        <f t="shared" si="10"/>
        <v>Tablet</v>
      </c>
    </row>
    <row r="82" spans="1:20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1"/>
        <v>1768.6799999999998</v>
      </c>
      <c r="P82" t="str">
        <f t="shared" si="6"/>
        <v>Correct</v>
      </c>
      <c r="Q82" t="str">
        <f t="shared" si="7"/>
        <v>June</v>
      </c>
      <c r="R82" s="3">
        <f t="shared" si="8"/>
        <v>2023</v>
      </c>
      <c r="S82" s="3" t="str">
        <f t="shared" si="9"/>
        <v>Q2</v>
      </c>
      <c r="T82" s="3" t="str">
        <f t="shared" si="10"/>
        <v>Phone</v>
      </c>
    </row>
    <row r="83" spans="1:20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1"/>
        <v>788.6</v>
      </c>
      <c r="P83" t="str">
        <f t="shared" si="6"/>
        <v>Correct</v>
      </c>
      <c r="Q83" t="str">
        <f t="shared" si="7"/>
        <v>June</v>
      </c>
      <c r="R83" s="3">
        <f t="shared" si="8"/>
        <v>2023</v>
      </c>
      <c r="S83" s="3" t="str">
        <f t="shared" si="9"/>
        <v>Q2</v>
      </c>
      <c r="T83" s="3" t="str">
        <f t="shared" si="10"/>
        <v>Monitor</v>
      </c>
    </row>
    <row r="84" spans="1:20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1"/>
        <v>2260.8000000000002</v>
      </c>
      <c r="P84" t="str">
        <f t="shared" si="6"/>
        <v>Correct</v>
      </c>
      <c r="Q84" t="str">
        <f t="shared" si="7"/>
        <v>January</v>
      </c>
      <c r="R84" s="3">
        <f t="shared" si="8"/>
        <v>2024</v>
      </c>
      <c r="S84" s="3" t="str">
        <f t="shared" si="9"/>
        <v>Q1</v>
      </c>
      <c r="T84" s="3" t="str">
        <f t="shared" si="10"/>
        <v>Tablet</v>
      </c>
    </row>
    <row r="85" spans="1:20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1"/>
        <v>2161.64</v>
      </c>
      <c r="P85" t="str">
        <f t="shared" si="6"/>
        <v>Correct</v>
      </c>
      <c r="Q85" t="str">
        <f t="shared" si="7"/>
        <v>August</v>
      </c>
      <c r="R85" s="3">
        <f t="shared" si="8"/>
        <v>2023</v>
      </c>
      <c r="S85" s="3" t="str">
        <f t="shared" si="9"/>
        <v>Q3</v>
      </c>
      <c r="T85" s="3" t="str">
        <f t="shared" si="10"/>
        <v>Laptop</v>
      </c>
    </row>
    <row r="86" spans="1:20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1"/>
        <v>330.98</v>
      </c>
      <c r="P86" t="str">
        <f t="shared" si="6"/>
        <v>Correct</v>
      </c>
      <c r="Q86" t="str">
        <f t="shared" si="7"/>
        <v>August</v>
      </c>
      <c r="R86" s="3">
        <f t="shared" si="8"/>
        <v>2023</v>
      </c>
      <c r="S86" s="3" t="str">
        <f t="shared" si="9"/>
        <v>Q3</v>
      </c>
      <c r="T86" s="3" t="str">
        <f t="shared" si="10"/>
        <v>Monitor</v>
      </c>
    </row>
    <row r="87" spans="1:20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1"/>
        <v>440.18999999999994</v>
      </c>
      <c r="P87" t="str">
        <f t="shared" si="6"/>
        <v>Correct</v>
      </c>
      <c r="Q87" t="str">
        <f t="shared" si="7"/>
        <v>September</v>
      </c>
      <c r="R87" s="3">
        <f t="shared" si="8"/>
        <v>2024</v>
      </c>
      <c r="S87" s="3" t="str">
        <f t="shared" si="9"/>
        <v>Q3</v>
      </c>
      <c r="T87" s="3" t="str">
        <f t="shared" si="10"/>
        <v>Tablet</v>
      </c>
    </row>
    <row r="88" spans="1:20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1"/>
        <v>3215.1499999999996</v>
      </c>
      <c r="P88" t="str">
        <f t="shared" si="6"/>
        <v>Correct</v>
      </c>
      <c r="Q88" t="str">
        <f t="shared" si="7"/>
        <v>June</v>
      </c>
      <c r="R88" s="3">
        <f t="shared" si="8"/>
        <v>2024</v>
      </c>
      <c r="S88" s="3" t="str">
        <f t="shared" si="9"/>
        <v>Q2</v>
      </c>
      <c r="T88" s="3" t="str">
        <f t="shared" si="10"/>
        <v>Printer</v>
      </c>
    </row>
    <row r="89" spans="1:20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1"/>
        <v>675.33</v>
      </c>
      <c r="P89" t="str">
        <f t="shared" si="6"/>
        <v>Correct</v>
      </c>
      <c r="Q89" t="str">
        <f t="shared" si="7"/>
        <v>October</v>
      </c>
      <c r="R89" s="3">
        <f t="shared" si="8"/>
        <v>2024</v>
      </c>
      <c r="S89" s="3" t="str">
        <f t="shared" si="9"/>
        <v>Q4</v>
      </c>
      <c r="T89" s="3" t="str">
        <f t="shared" si="10"/>
        <v>Tablet</v>
      </c>
    </row>
    <row r="90" spans="1:20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1"/>
        <v>344.43</v>
      </c>
      <c r="P90" t="str">
        <f t="shared" si="6"/>
        <v>Correct</v>
      </c>
      <c r="Q90" t="str">
        <f t="shared" si="7"/>
        <v>June</v>
      </c>
      <c r="R90" s="3">
        <f t="shared" si="8"/>
        <v>2025</v>
      </c>
      <c r="S90" s="3" t="str">
        <f t="shared" si="9"/>
        <v>Q2</v>
      </c>
      <c r="T90" s="3" t="str">
        <f t="shared" si="10"/>
        <v>Desk</v>
      </c>
    </row>
    <row r="91" spans="1:20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1"/>
        <v>2276.65</v>
      </c>
      <c r="P91" t="str">
        <f t="shared" si="6"/>
        <v>Correct</v>
      </c>
      <c r="Q91" t="str">
        <f t="shared" si="7"/>
        <v>February</v>
      </c>
      <c r="R91" s="3">
        <f t="shared" si="8"/>
        <v>2025</v>
      </c>
      <c r="S91" s="3" t="str">
        <f t="shared" si="9"/>
        <v>Q1</v>
      </c>
      <c r="T91" s="3" t="str">
        <f t="shared" si="10"/>
        <v>Printer</v>
      </c>
    </row>
    <row r="92" spans="1:20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1"/>
        <v>728.32</v>
      </c>
      <c r="P92" t="str">
        <f t="shared" si="6"/>
        <v>Correct</v>
      </c>
      <c r="Q92" t="str">
        <f t="shared" si="7"/>
        <v>September</v>
      </c>
      <c r="R92" s="3">
        <f t="shared" si="8"/>
        <v>2023</v>
      </c>
      <c r="S92" s="3" t="str">
        <f t="shared" si="9"/>
        <v>Q3</v>
      </c>
      <c r="T92" s="3" t="str">
        <f t="shared" si="10"/>
        <v>Chair</v>
      </c>
    </row>
    <row r="93" spans="1:20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1"/>
        <v>2463.75</v>
      </c>
      <c r="P93" t="str">
        <f t="shared" si="6"/>
        <v>Correct</v>
      </c>
      <c r="Q93" t="str">
        <f t="shared" si="7"/>
        <v>March</v>
      </c>
      <c r="R93" s="3">
        <f t="shared" si="8"/>
        <v>2023</v>
      </c>
      <c r="S93" s="3" t="str">
        <f t="shared" si="9"/>
        <v>Q1</v>
      </c>
      <c r="T93" s="3" t="str">
        <f t="shared" si="10"/>
        <v>Laptop</v>
      </c>
    </row>
    <row r="94" spans="1:20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1"/>
        <v>194.44</v>
      </c>
      <c r="P94" t="str">
        <f t="shared" si="6"/>
        <v>Correct</v>
      </c>
      <c r="Q94" t="str">
        <f t="shared" si="7"/>
        <v>June</v>
      </c>
      <c r="R94" s="3">
        <f t="shared" si="8"/>
        <v>2024</v>
      </c>
      <c r="S94" s="3" t="str">
        <f t="shared" si="9"/>
        <v>Q2</v>
      </c>
      <c r="T94" s="3" t="str">
        <f t="shared" si="10"/>
        <v>Printer</v>
      </c>
    </row>
    <row r="95" spans="1:20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1"/>
        <v>1724.04</v>
      </c>
      <c r="P95" t="str">
        <f t="shared" si="6"/>
        <v>Correct</v>
      </c>
      <c r="Q95" t="str">
        <f t="shared" si="7"/>
        <v>January</v>
      </c>
      <c r="R95" s="3">
        <f t="shared" si="8"/>
        <v>2023</v>
      </c>
      <c r="S95" s="3" t="str">
        <f t="shared" si="9"/>
        <v>Q1</v>
      </c>
      <c r="T95" s="3" t="str">
        <f t="shared" si="10"/>
        <v>Desk</v>
      </c>
    </row>
    <row r="96" spans="1:20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1"/>
        <v>531.17999999999995</v>
      </c>
      <c r="P96" t="str">
        <f t="shared" si="6"/>
        <v>Correct</v>
      </c>
      <c r="Q96" t="str">
        <f t="shared" si="7"/>
        <v>February</v>
      </c>
      <c r="R96" s="3">
        <f t="shared" si="8"/>
        <v>2023</v>
      </c>
      <c r="S96" s="3" t="str">
        <f t="shared" si="9"/>
        <v>Q1</v>
      </c>
      <c r="T96" s="3" t="str">
        <f t="shared" si="10"/>
        <v>Chair</v>
      </c>
    </row>
    <row r="97" spans="1:20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1"/>
        <v>470.04</v>
      </c>
      <c r="P97" t="str">
        <f t="shared" si="6"/>
        <v>Correct</v>
      </c>
      <c r="Q97" t="str">
        <f t="shared" si="7"/>
        <v>March</v>
      </c>
      <c r="R97" s="3">
        <f t="shared" si="8"/>
        <v>2023</v>
      </c>
      <c r="S97" s="3" t="str">
        <f t="shared" si="9"/>
        <v>Q1</v>
      </c>
      <c r="T97" s="3" t="str">
        <f t="shared" si="10"/>
        <v>Printer</v>
      </c>
    </row>
    <row r="98" spans="1:20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1"/>
        <v>465.66</v>
      </c>
      <c r="P98" t="str">
        <f t="shared" si="6"/>
        <v>Correct</v>
      </c>
      <c r="Q98" t="str">
        <f t="shared" si="7"/>
        <v>June</v>
      </c>
      <c r="R98" s="3">
        <f t="shared" si="8"/>
        <v>2024</v>
      </c>
      <c r="S98" s="3" t="str">
        <f t="shared" si="9"/>
        <v>Q2</v>
      </c>
      <c r="T98" s="3" t="str">
        <f t="shared" si="10"/>
        <v>Phone</v>
      </c>
    </row>
    <row r="99" spans="1:20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1"/>
        <v>3097.6</v>
      </c>
      <c r="P99" t="str">
        <f t="shared" si="6"/>
        <v>Correct</v>
      </c>
      <c r="Q99" t="str">
        <f t="shared" si="7"/>
        <v>January</v>
      </c>
      <c r="R99" s="3">
        <f t="shared" si="8"/>
        <v>2025</v>
      </c>
      <c r="S99" s="3" t="str">
        <f t="shared" si="9"/>
        <v>Q1</v>
      </c>
      <c r="T99" s="3" t="str">
        <f t="shared" si="10"/>
        <v>Tablet</v>
      </c>
    </row>
    <row r="100" spans="1:20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1"/>
        <v>457.08</v>
      </c>
      <c r="P100" t="str">
        <f t="shared" si="6"/>
        <v>Correct</v>
      </c>
      <c r="Q100" t="str">
        <f t="shared" si="7"/>
        <v>January</v>
      </c>
      <c r="R100" s="3">
        <f t="shared" si="8"/>
        <v>2023</v>
      </c>
      <c r="S100" s="3" t="str">
        <f t="shared" si="9"/>
        <v>Q1</v>
      </c>
      <c r="T100" s="3" t="str">
        <f t="shared" si="10"/>
        <v>Printer</v>
      </c>
    </row>
    <row r="101" spans="1:20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1"/>
        <v>201.58</v>
      </c>
      <c r="P101" t="str">
        <f t="shared" si="6"/>
        <v>Correct</v>
      </c>
      <c r="Q101" t="str">
        <f t="shared" si="7"/>
        <v>April</v>
      </c>
      <c r="R101" s="3">
        <f t="shared" si="8"/>
        <v>2025</v>
      </c>
      <c r="S101" s="3" t="str">
        <f t="shared" si="9"/>
        <v>Q2</v>
      </c>
      <c r="T101" s="3" t="str">
        <f t="shared" si="10"/>
        <v>Printer</v>
      </c>
    </row>
    <row r="102" spans="1:20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1"/>
        <v>1994.37</v>
      </c>
      <c r="P102" t="str">
        <f t="shared" si="6"/>
        <v>Correct</v>
      </c>
      <c r="Q102" t="str">
        <f t="shared" si="7"/>
        <v>February</v>
      </c>
      <c r="R102" s="3">
        <f t="shared" si="8"/>
        <v>2023</v>
      </c>
      <c r="S102" s="3" t="str">
        <f t="shared" si="9"/>
        <v>Q1</v>
      </c>
      <c r="T102" s="3" t="str">
        <f t="shared" si="10"/>
        <v>Phone</v>
      </c>
    </row>
    <row r="103" spans="1:20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1"/>
        <v>381.02</v>
      </c>
      <c r="P103" t="str">
        <f t="shared" si="6"/>
        <v>Correct</v>
      </c>
      <c r="Q103" t="str">
        <f t="shared" si="7"/>
        <v>November</v>
      </c>
      <c r="R103" s="3">
        <f t="shared" si="8"/>
        <v>2023</v>
      </c>
      <c r="S103" s="3" t="str">
        <f t="shared" si="9"/>
        <v>Q4</v>
      </c>
      <c r="T103" s="3" t="str">
        <f t="shared" si="10"/>
        <v>Printer</v>
      </c>
    </row>
    <row r="104" spans="1:20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1"/>
        <v>140.68</v>
      </c>
      <c r="P104" t="str">
        <f t="shared" si="6"/>
        <v>Correct</v>
      </c>
      <c r="Q104" t="str">
        <f t="shared" si="7"/>
        <v>March</v>
      </c>
      <c r="R104" s="3">
        <f t="shared" si="8"/>
        <v>2023</v>
      </c>
      <c r="S104" s="3" t="str">
        <f t="shared" si="9"/>
        <v>Q1</v>
      </c>
      <c r="T104" s="3" t="str">
        <f t="shared" si="10"/>
        <v>Laptop</v>
      </c>
    </row>
    <row r="105" spans="1:20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1"/>
        <v>873.72</v>
      </c>
      <c r="P105" t="str">
        <f t="shared" si="6"/>
        <v>Correct</v>
      </c>
      <c r="Q105" t="str">
        <f t="shared" si="7"/>
        <v>January</v>
      </c>
      <c r="R105" s="3">
        <f t="shared" si="8"/>
        <v>2025</v>
      </c>
      <c r="S105" s="3" t="str">
        <f t="shared" si="9"/>
        <v>Q1</v>
      </c>
      <c r="T105" s="3" t="str">
        <f t="shared" si="10"/>
        <v>Phone</v>
      </c>
    </row>
    <row r="106" spans="1:20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1"/>
        <v>582.04</v>
      </c>
      <c r="P106" t="str">
        <f t="shared" si="6"/>
        <v>Correct</v>
      </c>
      <c r="Q106" t="str">
        <f t="shared" si="7"/>
        <v>July</v>
      </c>
      <c r="R106" s="3">
        <f t="shared" si="8"/>
        <v>2024</v>
      </c>
      <c r="S106" s="3" t="str">
        <f t="shared" si="9"/>
        <v>Q3</v>
      </c>
      <c r="T106" s="3" t="str">
        <f t="shared" si="10"/>
        <v>Phone</v>
      </c>
    </row>
    <row r="107" spans="1:20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1"/>
        <v>556.20000000000005</v>
      </c>
      <c r="P107" t="str">
        <f t="shared" si="6"/>
        <v>Correct</v>
      </c>
      <c r="Q107" t="str">
        <f t="shared" si="7"/>
        <v>October</v>
      </c>
      <c r="R107" s="3">
        <f t="shared" si="8"/>
        <v>2024</v>
      </c>
      <c r="S107" s="3" t="str">
        <f t="shared" si="9"/>
        <v>Q4</v>
      </c>
      <c r="T107" s="3" t="str">
        <f t="shared" si="10"/>
        <v>Printer</v>
      </c>
    </row>
    <row r="108" spans="1:20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1"/>
        <v>1395.15</v>
      </c>
      <c r="P108" t="str">
        <f t="shared" si="6"/>
        <v>Correct</v>
      </c>
      <c r="Q108" t="str">
        <f t="shared" si="7"/>
        <v>September</v>
      </c>
      <c r="R108" s="3">
        <f t="shared" si="8"/>
        <v>2023</v>
      </c>
      <c r="S108" s="3" t="str">
        <f t="shared" si="9"/>
        <v>Q3</v>
      </c>
      <c r="T108" s="3" t="str">
        <f t="shared" si="10"/>
        <v>Desk</v>
      </c>
    </row>
    <row r="109" spans="1:20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1"/>
        <v>3353.75</v>
      </c>
      <c r="P109" t="str">
        <f t="shared" si="6"/>
        <v>Correct</v>
      </c>
      <c r="Q109" t="str">
        <f t="shared" si="7"/>
        <v>March</v>
      </c>
      <c r="R109" s="3">
        <f t="shared" si="8"/>
        <v>2023</v>
      </c>
      <c r="S109" s="3" t="str">
        <f t="shared" si="9"/>
        <v>Q1</v>
      </c>
      <c r="T109" s="3" t="str">
        <f t="shared" si="10"/>
        <v>Printer</v>
      </c>
    </row>
    <row r="110" spans="1:20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1"/>
        <v>241.9</v>
      </c>
      <c r="P110" t="str">
        <f t="shared" si="6"/>
        <v>Correct</v>
      </c>
      <c r="Q110" t="str">
        <f t="shared" si="7"/>
        <v>December</v>
      </c>
      <c r="R110" s="3">
        <f t="shared" si="8"/>
        <v>2024</v>
      </c>
      <c r="S110" s="3" t="str">
        <f t="shared" si="9"/>
        <v>Q4</v>
      </c>
      <c r="T110" s="3" t="str">
        <f t="shared" si="10"/>
        <v>Laptop</v>
      </c>
    </row>
    <row r="111" spans="1:20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1"/>
        <v>1778.6100000000001</v>
      </c>
      <c r="P111" t="str">
        <f t="shared" si="6"/>
        <v>Correct</v>
      </c>
      <c r="Q111" t="str">
        <f t="shared" si="7"/>
        <v>September</v>
      </c>
      <c r="R111" s="3">
        <f t="shared" si="8"/>
        <v>2023</v>
      </c>
      <c r="S111" s="3" t="str">
        <f t="shared" si="9"/>
        <v>Q3</v>
      </c>
      <c r="T111" s="3" t="str">
        <f t="shared" si="10"/>
        <v>Desk</v>
      </c>
    </row>
    <row r="112" spans="1:20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1"/>
        <v>220.77</v>
      </c>
      <c r="P112" t="str">
        <f t="shared" si="6"/>
        <v>Correct</v>
      </c>
      <c r="Q112" t="str">
        <f t="shared" si="7"/>
        <v>April</v>
      </c>
      <c r="R112" s="3">
        <f t="shared" si="8"/>
        <v>2024</v>
      </c>
      <c r="S112" s="3" t="str">
        <f t="shared" si="9"/>
        <v>Q2</v>
      </c>
      <c r="T112" s="3" t="str">
        <f t="shared" si="10"/>
        <v>Tablet</v>
      </c>
    </row>
    <row r="113" spans="1:20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1"/>
        <v>927.66000000000008</v>
      </c>
      <c r="P113" t="str">
        <f t="shared" si="6"/>
        <v>Correct</v>
      </c>
      <c r="Q113" t="str">
        <f t="shared" si="7"/>
        <v>May</v>
      </c>
      <c r="R113" s="3">
        <f t="shared" si="8"/>
        <v>2025</v>
      </c>
      <c r="S113" s="3" t="str">
        <f t="shared" si="9"/>
        <v>Q2</v>
      </c>
      <c r="T113" s="3" t="str">
        <f t="shared" si="10"/>
        <v>Desk</v>
      </c>
    </row>
    <row r="114" spans="1:20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1"/>
        <v>410.6</v>
      </c>
      <c r="P114" t="str">
        <f t="shared" si="6"/>
        <v>Correct</v>
      </c>
      <c r="Q114" t="str">
        <f t="shared" si="7"/>
        <v>January</v>
      </c>
      <c r="R114" s="3">
        <f t="shared" si="8"/>
        <v>2023</v>
      </c>
      <c r="S114" s="3" t="str">
        <f t="shared" si="9"/>
        <v>Q1</v>
      </c>
      <c r="T114" s="3" t="str">
        <f t="shared" si="10"/>
        <v>Monitor</v>
      </c>
    </row>
    <row r="115" spans="1:20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1"/>
        <v>950.40000000000009</v>
      </c>
      <c r="P115" t="str">
        <f t="shared" si="6"/>
        <v>Correct</v>
      </c>
      <c r="Q115" t="str">
        <f t="shared" si="7"/>
        <v>January</v>
      </c>
      <c r="R115" s="3">
        <f t="shared" si="8"/>
        <v>2024</v>
      </c>
      <c r="S115" s="3" t="str">
        <f t="shared" si="9"/>
        <v>Q1</v>
      </c>
      <c r="T115" s="3" t="str">
        <f t="shared" si="10"/>
        <v>Laptop</v>
      </c>
    </row>
    <row r="116" spans="1:20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1"/>
        <v>2492.4</v>
      </c>
      <c r="P116" t="str">
        <f t="shared" si="6"/>
        <v>Correct</v>
      </c>
      <c r="Q116" t="str">
        <f t="shared" si="7"/>
        <v>January</v>
      </c>
      <c r="R116" s="3">
        <f t="shared" si="8"/>
        <v>2025</v>
      </c>
      <c r="S116" s="3" t="str">
        <f t="shared" si="9"/>
        <v>Q1</v>
      </c>
      <c r="T116" s="3" t="str">
        <f t="shared" si="10"/>
        <v>Monitor</v>
      </c>
    </row>
    <row r="117" spans="1:20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1"/>
        <v>1874.95</v>
      </c>
      <c r="P117" t="str">
        <f t="shared" si="6"/>
        <v>Correct</v>
      </c>
      <c r="Q117" t="str">
        <f t="shared" si="7"/>
        <v>November</v>
      </c>
      <c r="R117" s="3">
        <f t="shared" si="8"/>
        <v>2023</v>
      </c>
      <c r="S117" s="3" t="str">
        <f t="shared" si="9"/>
        <v>Q4</v>
      </c>
      <c r="T117" s="3" t="str">
        <f t="shared" si="10"/>
        <v>Phone</v>
      </c>
    </row>
    <row r="118" spans="1:20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1"/>
        <v>1165.4000000000001</v>
      </c>
      <c r="P118" t="str">
        <f t="shared" si="6"/>
        <v>Correct</v>
      </c>
      <c r="Q118" t="str">
        <f t="shared" si="7"/>
        <v>March</v>
      </c>
      <c r="R118" s="3">
        <f t="shared" si="8"/>
        <v>2023</v>
      </c>
      <c r="S118" s="3" t="str">
        <f t="shared" si="9"/>
        <v>Q1</v>
      </c>
      <c r="T118" s="3" t="str">
        <f t="shared" si="10"/>
        <v>Printer</v>
      </c>
    </row>
    <row r="119" spans="1:20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1"/>
        <v>535.5</v>
      </c>
      <c r="P119" t="str">
        <f t="shared" si="6"/>
        <v>Correct</v>
      </c>
      <c r="Q119" t="str">
        <f t="shared" si="7"/>
        <v>March</v>
      </c>
      <c r="R119" s="3">
        <f t="shared" si="8"/>
        <v>2023</v>
      </c>
      <c r="S119" s="3" t="str">
        <f t="shared" si="9"/>
        <v>Q1</v>
      </c>
      <c r="T119" s="3" t="str">
        <f t="shared" si="10"/>
        <v>Tablet</v>
      </c>
    </row>
    <row r="120" spans="1:20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1"/>
        <v>2513.5499999999997</v>
      </c>
      <c r="P120" t="str">
        <f t="shared" si="6"/>
        <v>Correct</v>
      </c>
      <c r="Q120" t="str">
        <f t="shared" si="7"/>
        <v>October</v>
      </c>
      <c r="R120" s="3">
        <f t="shared" si="8"/>
        <v>2023</v>
      </c>
      <c r="S120" s="3" t="str">
        <f t="shared" si="9"/>
        <v>Q4</v>
      </c>
      <c r="T120" s="3" t="str">
        <f t="shared" si="10"/>
        <v>Printer</v>
      </c>
    </row>
    <row r="121" spans="1:20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1"/>
        <v>1069.3399999999999</v>
      </c>
      <c r="P121" t="str">
        <f t="shared" si="6"/>
        <v>Correct</v>
      </c>
      <c r="Q121" t="str">
        <f t="shared" si="7"/>
        <v>June</v>
      </c>
      <c r="R121" s="3">
        <f t="shared" si="8"/>
        <v>2025</v>
      </c>
      <c r="S121" s="3" t="str">
        <f t="shared" si="9"/>
        <v>Q2</v>
      </c>
      <c r="T121" s="3" t="str">
        <f t="shared" si="10"/>
        <v>Desk</v>
      </c>
    </row>
    <row r="122" spans="1:20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1"/>
        <v>2517.36</v>
      </c>
      <c r="P122" t="str">
        <f t="shared" si="6"/>
        <v>Correct</v>
      </c>
      <c r="Q122" t="str">
        <f t="shared" si="7"/>
        <v>April</v>
      </c>
      <c r="R122" s="3">
        <f t="shared" si="8"/>
        <v>2023</v>
      </c>
      <c r="S122" s="3" t="str">
        <f t="shared" si="9"/>
        <v>Q2</v>
      </c>
      <c r="T122" s="3" t="str">
        <f t="shared" si="10"/>
        <v>Tablet</v>
      </c>
    </row>
    <row r="123" spans="1:20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1"/>
        <v>410.78</v>
      </c>
      <c r="P123" t="str">
        <f t="shared" si="6"/>
        <v>Correct</v>
      </c>
      <c r="Q123" t="str">
        <f t="shared" si="7"/>
        <v>November</v>
      </c>
      <c r="R123" s="3">
        <f t="shared" si="8"/>
        <v>2023</v>
      </c>
      <c r="S123" s="3" t="str">
        <f t="shared" si="9"/>
        <v>Q4</v>
      </c>
      <c r="T123" s="3" t="str">
        <f t="shared" si="10"/>
        <v>Desk</v>
      </c>
    </row>
    <row r="124" spans="1:20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1"/>
        <v>1066.04</v>
      </c>
      <c r="P124" t="str">
        <f t="shared" si="6"/>
        <v>Correct</v>
      </c>
      <c r="Q124" t="str">
        <f t="shared" si="7"/>
        <v>April</v>
      </c>
      <c r="R124" s="3">
        <f t="shared" si="8"/>
        <v>2024</v>
      </c>
      <c r="S124" s="3" t="str">
        <f t="shared" si="9"/>
        <v>Q2</v>
      </c>
      <c r="T124" s="3" t="str">
        <f t="shared" si="10"/>
        <v>Laptop</v>
      </c>
    </row>
    <row r="125" spans="1:20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1"/>
        <v>834.12000000000012</v>
      </c>
      <c r="P125" t="str">
        <f t="shared" si="6"/>
        <v>Correct</v>
      </c>
      <c r="Q125" t="str">
        <f t="shared" si="7"/>
        <v>July</v>
      </c>
      <c r="R125" s="3">
        <f t="shared" si="8"/>
        <v>2023</v>
      </c>
      <c r="S125" s="3" t="str">
        <f t="shared" si="9"/>
        <v>Q3</v>
      </c>
      <c r="T125" s="3" t="str">
        <f t="shared" si="10"/>
        <v>Desk</v>
      </c>
    </row>
    <row r="126" spans="1:20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1"/>
        <v>1135.1600000000001</v>
      </c>
      <c r="P126" t="str">
        <f t="shared" si="6"/>
        <v>Correct</v>
      </c>
      <c r="Q126" t="str">
        <f t="shared" si="7"/>
        <v>July</v>
      </c>
      <c r="R126" s="3">
        <f t="shared" si="8"/>
        <v>2024</v>
      </c>
      <c r="S126" s="3" t="str">
        <f t="shared" si="9"/>
        <v>Q3</v>
      </c>
      <c r="T126" s="3" t="str">
        <f t="shared" si="10"/>
        <v>Printer</v>
      </c>
    </row>
    <row r="127" spans="1:20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1"/>
        <v>1025.3</v>
      </c>
      <c r="P127" t="str">
        <f t="shared" si="6"/>
        <v>Correct</v>
      </c>
      <c r="Q127" t="str">
        <f t="shared" si="7"/>
        <v>November</v>
      </c>
      <c r="R127" s="3">
        <f t="shared" si="8"/>
        <v>2024</v>
      </c>
      <c r="S127" s="3" t="str">
        <f t="shared" si="9"/>
        <v>Q4</v>
      </c>
      <c r="T127" s="3" t="str">
        <f t="shared" si="10"/>
        <v>Phone</v>
      </c>
    </row>
    <row r="128" spans="1:20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1"/>
        <v>1102</v>
      </c>
      <c r="P128" t="str">
        <f t="shared" si="6"/>
        <v>Correct</v>
      </c>
      <c r="Q128" t="str">
        <f t="shared" si="7"/>
        <v>May</v>
      </c>
      <c r="R128" s="3">
        <f t="shared" si="8"/>
        <v>2025</v>
      </c>
      <c r="S128" s="3" t="str">
        <f t="shared" si="9"/>
        <v>Q2</v>
      </c>
      <c r="T128" s="3" t="str">
        <f t="shared" si="10"/>
        <v>Desk</v>
      </c>
    </row>
    <row r="129" spans="1:20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1"/>
        <v>1407.96</v>
      </c>
      <c r="P129" t="str">
        <f t="shared" si="6"/>
        <v>Correct</v>
      </c>
      <c r="Q129" t="str">
        <f t="shared" si="7"/>
        <v>August</v>
      </c>
      <c r="R129" s="3">
        <f t="shared" si="8"/>
        <v>2023</v>
      </c>
      <c r="S129" s="3" t="str">
        <f t="shared" si="9"/>
        <v>Q3</v>
      </c>
      <c r="T129" s="3" t="str">
        <f t="shared" si="10"/>
        <v>Desk</v>
      </c>
    </row>
    <row r="130" spans="1:20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1"/>
        <v>84.28</v>
      </c>
      <c r="P130" t="str">
        <f t="shared" ref="P130:P193" si="12">IF(O130=N130,"Correct","Error")</f>
        <v>Correct</v>
      </c>
      <c r="Q130" t="str">
        <f t="shared" ref="Q130:Q193" si="13">TEXT(B130,"MMMM")</f>
        <v>February</v>
      </c>
      <c r="R130" s="3">
        <f t="shared" ref="R130:R193" si="14">YEAR(B130)</f>
        <v>2023</v>
      </c>
      <c r="S130" s="3" t="str">
        <f t="shared" ref="S130:S193" si="15">"Q"&amp;ROUNDUP(MONTH(B130)/3,0)</f>
        <v>Q1</v>
      </c>
      <c r="T130" s="3" t="str">
        <f t="shared" ref="T130:T193" si="16">TRIM(D130)</f>
        <v>Tablet</v>
      </c>
    </row>
    <row r="131" spans="1:20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17">E131*F131</f>
        <v>1055.72</v>
      </c>
      <c r="P131" t="str">
        <f t="shared" si="12"/>
        <v>Correct</v>
      </c>
      <c r="Q131" t="str">
        <f t="shared" si="13"/>
        <v>October</v>
      </c>
      <c r="R131" s="3">
        <f t="shared" si="14"/>
        <v>2023</v>
      </c>
      <c r="S131" s="3" t="str">
        <f t="shared" si="15"/>
        <v>Q4</v>
      </c>
      <c r="T131" s="3" t="str">
        <f t="shared" si="16"/>
        <v>Laptop</v>
      </c>
    </row>
    <row r="132" spans="1:20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17"/>
        <v>1503.9</v>
      </c>
      <c r="P132" t="str">
        <f t="shared" si="12"/>
        <v>Correct</v>
      </c>
      <c r="Q132" t="str">
        <f t="shared" si="13"/>
        <v>January</v>
      </c>
      <c r="R132" s="3">
        <f t="shared" si="14"/>
        <v>2025</v>
      </c>
      <c r="S132" s="3" t="str">
        <f t="shared" si="15"/>
        <v>Q1</v>
      </c>
      <c r="T132" s="3" t="str">
        <f t="shared" si="16"/>
        <v>Desk</v>
      </c>
    </row>
    <row r="133" spans="1:20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17"/>
        <v>84.8</v>
      </c>
      <c r="P133" t="str">
        <f t="shared" si="12"/>
        <v>Correct</v>
      </c>
      <c r="Q133" t="str">
        <f t="shared" si="13"/>
        <v>January</v>
      </c>
      <c r="R133" s="3">
        <f t="shared" si="14"/>
        <v>2023</v>
      </c>
      <c r="S133" s="3" t="str">
        <f t="shared" si="15"/>
        <v>Q1</v>
      </c>
      <c r="T133" s="3" t="str">
        <f t="shared" si="16"/>
        <v>Tablet</v>
      </c>
    </row>
    <row r="134" spans="1:20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17"/>
        <v>1803</v>
      </c>
      <c r="P134" t="str">
        <f t="shared" si="12"/>
        <v>Correct</v>
      </c>
      <c r="Q134" t="str">
        <f t="shared" si="13"/>
        <v>March</v>
      </c>
      <c r="R134" s="3">
        <f t="shared" si="14"/>
        <v>2023</v>
      </c>
      <c r="S134" s="3" t="str">
        <f t="shared" si="15"/>
        <v>Q1</v>
      </c>
      <c r="T134" s="3" t="str">
        <f t="shared" si="16"/>
        <v>Tablet</v>
      </c>
    </row>
    <row r="135" spans="1:20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17"/>
        <v>1208.2</v>
      </c>
      <c r="P135" t="str">
        <f t="shared" si="12"/>
        <v>Correct</v>
      </c>
      <c r="Q135" t="str">
        <f t="shared" si="13"/>
        <v>June</v>
      </c>
      <c r="R135" s="3">
        <f t="shared" si="14"/>
        <v>2025</v>
      </c>
      <c r="S135" s="3" t="str">
        <f t="shared" si="15"/>
        <v>Q2</v>
      </c>
      <c r="T135" s="3" t="str">
        <f t="shared" si="16"/>
        <v>Chair</v>
      </c>
    </row>
    <row r="136" spans="1:20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17"/>
        <v>399.4</v>
      </c>
      <c r="P136" t="str">
        <f t="shared" si="12"/>
        <v>Correct</v>
      </c>
      <c r="Q136" t="str">
        <f t="shared" si="13"/>
        <v>June</v>
      </c>
      <c r="R136" s="3">
        <f t="shared" si="14"/>
        <v>2025</v>
      </c>
      <c r="S136" s="3" t="str">
        <f t="shared" si="15"/>
        <v>Q2</v>
      </c>
      <c r="T136" s="3" t="str">
        <f t="shared" si="16"/>
        <v>Laptop</v>
      </c>
    </row>
    <row r="137" spans="1:20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4283</v>
      </c>
      <c r="M137" t="s">
        <v>4279</v>
      </c>
      <c r="N137">
        <v>137.62</v>
      </c>
      <c r="O137">
        <f t="shared" si="17"/>
        <v>137.62</v>
      </c>
      <c r="P137" t="str">
        <f t="shared" si="12"/>
        <v>Correct</v>
      </c>
      <c r="Q137" t="str">
        <f t="shared" si="13"/>
        <v>August</v>
      </c>
      <c r="R137" s="3">
        <f t="shared" si="14"/>
        <v>2023</v>
      </c>
      <c r="S137" s="3" t="str">
        <f t="shared" si="15"/>
        <v>Q3</v>
      </c>
      <c r="T137" s="3" t="str">
        <f t="shared" si="16"/>
        <v>Printer</v>
      </c>
    </row>
    <row r="138" spans="1:20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17"/>
        <v>44.35</v>
      </c>
      <c r="P138" t="str">
        <f t="shared" si="12"/>
        <v>Correct</v>
      </c>
      <c r="Q138" t="str">
        <f t="shared" si="13"/>
        <v>April</v>
      </c>
      <c r="R138" s="3">
        <f t="shared" si="14"/>
        <v>2024</v>
      </c>
      <c r="S138" s="3" t="str">
        <f t="shared" si="15"/>
        <v>Q2</v>
      </c>
      <c r="T138" s="3" t="str">
        <f t="shared" si="16"/>
        <v>Laptop</v>
      </c>
    </row>
    <row r="139" spans="1:20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17"/>
        <v>501.96</v>
      </c>
      <c r="P139" t="str">
        <f t="shared" si="12"/>
        <v>Correct</v>
      </c>
      <c r="Q139" t="str">
        <f t="shared" si="13"/>
        <v>November</v>
      </c>
      <c r="R139" s="3">
        <f t="shared" si="14"/>
        <v>2024</v>
      </c>
      <c r="S139" s="3" t="str">
        <f t="shared" si="15"/>
        <v>Q4</v>
      </c>
      <c r="T139" s="3" t="str">
        <f t="shared" si="16"/>
        <v>Monitor</v>
      </c>
    </row>
    <row r="140" spans="1:20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17"/>
        <v>298.06</v>
      </c>
      <c r="P140" t="str">
        <f t="shared" si="12"/>
        <v>Correct</v>
      </c>
      <c r="Q140" t="str">
        <f t="shared" si="13"/>
        <v>December</v>
      </c>
      <c r="R140" s="3">
        <f t="shared" si="14"/>
        <v>2023</v>
      </c>
      <c r="S140" s="3" t="str">
        <f t="shared" si="15"/>
        <v>Q4</v>
      </c>
      <c r="T140" s="3" t="str">
        <f t="shared" si="16"/>
        <v>Tablet</v>
      </c>
    </row>
    <row r="141" spans="1:20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17"/>
        <v>583.9</v>
      </c>
      <c r="P141" t="str">
        <f t="shared" si="12"/>
        <v>Correct</v>
      </c>
      <c r="Q141" t="str">
        <f t="shared" si="13"/>
        <v>April</v>
      </c>
      <c r="R141" s="3">
        <f t="shared" si="14"/>
        <v>2023</v>
      </c>
      <c r="S141" s="3" t="str">
        <f t="shared" si="15"/>
        <v>Q2</v>
      </c>
      <c r="T141" s="3" t="str">
        <f t="shared" si="16"/>
        <v>Phone</v>
      </c>
    </row>
    <row r="142" spans="1:20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17"/>
        <v>1584.42</v>
      </c>
      <c r="P142" t="str">
        <f t="shared" si="12"/>
        <v>Correct</v>
      </c>
      <c r="Q142" t="str">
        <f t="shared" si="13"/>
        <v>May</v>
      </c>
      <c r="R142" s="3">
        <f t="shared" si="14"/>
        <v>2025</v>
      </c>
      <c r="S142" s="3" t="str">
        <f t="shared" si="15"/>
        <v>Q2</v>
      </c>
      <c r="T142" s="3" t="str">
        <f t="shared" si="16"/>
        <v>Chair</v>
      </c>
    </row>
    <row r="143" spans="1:20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17"/>
        <v>2052.42</v>
      </c>
      <c r="P143" t="str">
        <f t="shared" si="12"/>
        <v>Correct</v>
      </c>
      <c r="Q143" t="str">
        <f t="shared" si="13"/>
        <v>November</v>
      </c>
      <c r="R143" s="3">
        <f t="shared" si="14"/>
        <v>2023</v>
      </c>
      <c r="S143" s="3" t="str">
        <f t="shared" si="15"/>
        <v>Q4</v>
      </c>
      <c r="T143" s="3" t="str">
        <f t="shared" si="16"/>
        <v>Printer</v>
      </c>
    </row>
    <row r="144" spans="1:20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17"/>
        <v>1363.85</v>
      </c>
      <c r="P144" t="str">
        <f t="shared" si="12"/>
        <v>Correct</v>
      </c>
      <c r="Q144" t="str">
        <f t="shared" si="13"/>
        <v>September</v>
      </c>
      <c r="R144" s="3">
        <f t="shared" si="14"/>
        <v>2023</v>
      </c>
      <c r="S144" s="3" t="str">
        <f t="shared" si="15"/>
        <v>Q3</v>
      </c>
      <c r="T144" s="3" t="str">
        <f t="shared" si="16"/>
        <v>Desk</v>
      </c>
    </row>
    <row r="145" spans="1:20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17"/>
        <v>1600.28</v>
      </c>
      <c r="P145" t="str">
        <f t="shared" si="12"/>
        <v>Correct</v>
      </c>
      <c r="Q145" t="str">
        <f t="shared" si="13"/>
        <v>June</v>
      </c>
      <c r="R145" s="3">
        <f t="shared" si="14"/>
        <v>2024</v>
      </c>
      <c r="S145" s="3" t="str">
        <f t="shared" si="15"/>
        <v>Q2</v>
      </c>
      <c r="T145" s="3" t="str">
        <f t="shared" si="16"/>
        <v>Chair</v>
      </c>
    </row>
    <row r="146" spans="1:20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17"/>
        <v>1098.9000000000001</v>
      </c>
      <c r="P146" t="str">
        <f t="shared" si="12"/>
        <v>Correct</v>
      </c>
      <c r="Q146" t="str">
        <f t="shared" si="13"/>
        <v>August</v>
      </c>
      <c r="R146" s="3">
        <f t="shared" si="14"/>
        <v>2023</v>
      </c>
      <c r="S146" s="3" t="str">
        <f t="shared" si="15"/>
        <v>Q3</v>
      </c>
      <c r="T146" s="3" t="str">
        <f t="shared" si="16"/>
        <v>Desk</v>
      </c>
    </row>
    <row r="147" spans="1:20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17"/>
        <v>440.73</v>
      </c>
      <c r="P147" t="str">
        <f t="shared" si="12"/>
        <v>Correct</v>
      </c>
      <c r="Q147" t="str">
        <f t="shared" si="13"/>
        <v>March</v>
      </c>
      <c r="R147" s="3">
        <f t="shared" si="14"/>
        <v>2024</v>
      </c>
      <c r="S147" s="3" t="str">
        <f t="shared" si="15"/>
        <v>Q1</v>
      </c>
      <c r="T147" s="3" t="str">
        <f t="shared" si="16"/>
        <v>Printer</v>
      </c>
    </row>
    <row r="148" spans="1:20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17"/>
        <v>822.98</v>
      </c>
      <c r="P148" t="str">
        <f t="shared" si="12"/>
        <v>Correct</v>
      </c>
      <c r="Q148" t="str">
        <f t="shared" si="13"/>
        <v>April</v>
      </c>
      <c r="R148" s="3">
        <f t="shared" si="14"/>
        <v>2025</v>
      </c>
      <c r="S148" s="3" t="str">
        <f t="shared" si="15"/>
        <v>Q2</v>
      </c>
      <c r="T148" s="3" t="str">
        <f t="shared" si="16"/>
        <v>Tablet</v>
      </c>
    </row>
    <row r="149" spans="1:20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17"/>
        <v>930.36</v>
      </c>
      <c r="P149" t="str">
        <f t="shared" si="12"/>
        <v>Correct</v>
      </c>
      <c r="Q149" t="str">
        <f t="shared" si="13"/>
        <v>May</v>
      </c>
      <c r="R149" s="3">
        <f t="shared" si="14"/>
        <v>2025</v>
      </c>
      <c r="S149" s="3" t="str">
        <f t="shared" si="15"/>
        <v>Q2</v>
      </c>
      <c r="T149" s="3" t="str">
        <f t="shared" si="16"/>
        <v>Laptop</v>
      </c>
    </row>
    <row r="150" spans="1:20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17"/>
        <v>639.82000000000005</v>
      </c>
      <c r="P150" t="str">
        <f t="shared" si="12"/>
        <v>Correct</v>
      </c>
      <c r="Q150" t="str">
        <f t="shared" si="13"/>
        <v>December</v>
      </c>
      <c r="R150" s="3">
        <f t="shared" si="14"/>
        <v>2024</v>
      </c>
      <c r="S150" s="3" t="str">
        <f t="shared" si="15"/>
        <v>Q4</v>
      </c>
      <c r="T150" s="3" t="str">
        <f t="shared" si="16"/>
        <v>Phone</v>
      </c>
    </row>
    <row r="151" spans="1:20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17"/>
        <v>217.56</v>
      </c>
      <c r="P151" t="str">
        <f t="shared" si="12"/>
        <v>Correct</v>
      </c>
      <c r="Q151" t="str">
        <f t="shared" si="13"/>
        <v>December</v>
      </c>
      <c r="R151" s="3">
        <f t="shared" si="14"/>
        <v>2023</v>
      </c>
      <c r="S151" s="3" t="str">
        <f t="shared" si="15"/>
        <v>Q4</v>
      </c>
      <c r="T151" s="3" t="str">
        <f t="shared" si="16"/>
        <v>Laptop</v>
      </c>
    </row>
    <row r="152" spans="1:20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17"/>
        <v>211.14</v>
      </c>
      <c r="P152" t="str">
        <f t="shared" si="12"/>
        <v>Correct</v>
      </c>
      <c r="Q152" t="str">
        <f t="shared" si="13"/>
        <v>December</v>
      </c>
      <c r="R152" s="3">
        <f t="shared" si="14"/>
        <v>2023</v>
      </c>
      <c r="S152" s="3" t="str">
        <f t="shared" si="15"/>
        <v>Q4</v>
      </c>
      <c r="T152" s="3" t="str">
        <f t="shared" si="16"/>
        <v>Phone</v>
      </c>
    </row>
    <row r="153" spans="1:20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17"/>
        <v>2223.8000000000002</v>
      </c>
      <c r="P153" t="str">
        <f t="shared" si="12"/>
        <v>Correct</v>
      </c>
      <c r="Q153" t="str">
        <f t="shared" si="13"/>
        <v>December</v>
      </c>
      <c r="R153" s="3">
        <f t="shared" si="14"/>
        <v>2023</v>
      </c>
      <c r="S153" s="3" t="str">
        <f t="shared" si="15"/>
        <v>Q4</v>
      </c>
      <c r="T153" s="3" t="str">
        <f t="shared" si="16"/>
        <v>Printer</v>
      </c>
    </row>
    <row r="154" spans="1:20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17"/>
        <v>798.08</v>
      </c>
      <c r="P154" t="str">
        <f t="shared" si="12"/>
        <v>Correct</v>
      </c>
      <c r="Q154" t="str">
        <f t="shared" si="13"/>
        <v>January</v>
      </c>
      <c r="R154" s="3">
        <f t="shared" si="14"/>
        <v>2025</v>
      </c>
      <c r="S154" s="3" t="str">
        <f t="shared" si="15"/>
        <v>Q1</v>
      </c>
      <c r="T154" s="3" t="str">
        <f t="shared" si="16"/>
        <v>Chair</v>
      </c>
    </row>
    <row r="155" spans="1:20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17"/>
        <v>2137.92</v>
      </c>
      <c r="P155" t="str">
        <f t="shared" si="12"/>
        <v>Correct</v>
      </c>
      <c r="Q155" t="str">
        <f t="shared" si="13"/>
        <v>December</v>
      </c>
      <c r="R155" s="3">
        <f t="shared" si="14"/>
        <v>2024</v>
      </c>
      <c r="S155" s="3" t="str">
        <f t="shared" si="15"/>
        <v>Q4</v>
      </c>
      <c r="T155" s="3" t="str">
        <f t="shared" si="16"/>
        <v>Chair</v>
      </c>
    </row>
    <row r="156" spans="1:20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17"/>
        <v>1632.84</v>
      </c>
      <c r="P156" t="str">
        <f t="shared" si="12"/>
        <v>Correct</v>
      </c>
      <c r="Q156" t="str">
        <f t="shared" si="13"/>
        <v>July</v>
      </c>
      <c r="R156" s="3">
        <f t="shared" si="14"/>
        <v>2023</v>
      </c>
      <c r="S156" s="3" t="str">
        <f t="shared" si="15"/>
        <v>Q3</v>
      </c>
      <c r="T156" s="3" t="str">
        <f t="shared" si="16"/>
        <v>Phone</v>
      </c>
    </row>
    <row r="157" spans="1:20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17"/>
        <v>424.4</v>
      </c>
      <c r="P157" t="str">
        <f t="shared" si="12"/>
        <v>Correct</v>
      </c>
      <c r="Q157" t="str">
        <f t="shared" si="13"/>
        <v>February</v>
      </c>
      <c r="R157" s="3">
        <f t="shared" si="14"/>
        <v>2023</v>
      </c>
      <c r="S157" s="3" t="str">
        <f t="shared" si="15"/>
        <v>Q1</v>
      </c>
      <c r="T157" s="3" t="str">
        <f t="shared" si="16"/>
        <v>Phone</v>
      </c>
    </row>
    <row r="158" spans="1:20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17"/>
        <v>539.66</v>
      </c>
      <c r="P158" t="str">
        <f t="shared" si="12"/>
        <v>Correct</v>
      </c>
      <c r="Q158" t="str">
        <f t="shared" si="13"/>
        <v>November</v>
      </c>
      <c r="R158" s="3">
        <f t="shared" si="14"/>
        <v>2024</v>
      </c>
      <c r="S158" s="3" t="str">
        <f t="shared" si="15"/>
        <v>Q4</v>
      </c>
      <c r="T158" s="3" t="str">
        <f t="shared" si="16"/>
        <v>Chair</v>
      </c>
    </row>
    <row r="159" spans="1:20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17"/>
        <v>1129.1600000000001</v>
      </c>
      <c r="P159" t="str">
        <f t="shared" si="12"/>
        <v>Correct</v>
      </c>
      <c r="Q159" t="str">
        <f t="shared" si="13"/>
        <v>February</v>
      </c>
      <c r="R159" s="3">
        <f t="shared" si="14"/>
        <v>2025</v>
      </c>
      <c r="S159" s="3" t="str">
        <f t="shared" si="15"/>
        <v>Q1</v>
      </c>
      <c r="T159" s="3" t="str">
        <f t="shared" si="16"/>
        <v>Monitor</v>
      </c>
    </row>
    <row r="160" spans="1:20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17"/>
        <v>331.06</v>
      </c>
      <c r="P160" t="str">
        <f t="shared" si="12"/>
        <v>Correct</v>
      </c>
      <c r="Q160" t="str">
        <f t="shared" si="13"/>
        <v>May</v>
      </c>
      <c r="R160" s="3">
        <f t="shared" si="14"/>
        <v>2024</v>
      </c>
      <c r="S160" s="3" t="str">
        <f t="shared" si="15"/>
        <v>Q2</v>
      </c>
      <c r="T160" s="3" t="str">
        <f t="shared" si="16"/>
        <v>Tablet</v>
      </c>
    </row>
    <row r="161" spans="1:20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17"/>
        <v>299.35000000000002</v>
      </c>
      <c r="P161" t="str">
        <f t="shared" si="12"/>
        <v>Correct</v>
      </c>
      <c r="Q161" t="str">
        <f t="shared" si="13"/>
        <v>October</v>
      </c>
      <c r="R161" s="3">
        <f t="shared" si="14"/>
        <v>2023</v>
      </c>
      <c r="S161" s="3" t="str">
        <f t="shared" si="15"/>
        <v>Q4</v>
      </c>
      <c r="T161" s="3" t="str">
        <f t="shared" si="16"/>
        <v>Printer</v>
      </c>
    </row>
    <row r="162" spans="1:20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17"/>
        <v>405.28</v>
      </c>
      <c r="P162" t="str">
        <f t="shared" si="12"/>
        <v>Correct</v>
      </c>
      <c r="Q162" t="str">
        <f t="shared" si="13"/>
        <v>February</v>
      </c>
      <c r="R162" s="3">
        <f t="shared" si="14"/>
        <v>2023</v>
      </c>
      <c r="S162" s="3" t="str">
        <f t="shared" si="15"/>
        <v>Q1</v>
      </c>
      <c r="T162" s="3" t="str">
        <f t="shared" si="16"/>
        <v>Monitor</v>
      </c>
    </row>
    <row r="163" spans="1:20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17"/>
        <v>211.14</v>
      </c>
      <c r="P163" t="str">
        <f t="shared" si="12"/>
        <v>Correct</v>
      </c>
      <c r="Q163" t="str">
        <f t="shared" si="13"/>
        <v>March</v>
      </c>
      <c r="R163" s="3">
        <f t="shared" si="14"/>
        <v>2024</v>
      </c>
      <c r="S163" s="3" t="str">
        <f t="shared" si="15"/>
        <v>Q1</v>
      </c>
      <c r="T163" s="3" t="str">
        <f t="shared" si="16"/>
        <v>Monitor</v>
      </c>
    </row>
    <row r="164" spans="1:20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17"/>
        <v>197.57999999999998</v>
      </c>
      <c r="P164" t="str">
        <f t="shared" si="12"/>
        <v>Correct</v>
      </c>
      <c r="Q164" t="str">
        <f t="shared" si="13"/>
        <v>July</v>
      </c>
      <c r="R164" s="3">
        <f t="shared" si="14"/>
        <v>2023</v>
      </c>
      <c r="S164" s="3" t="str">
        <f t="shared" si="15"/>
        <v>Q3</v>
      </c>
      <c r="T164" s="3" t="str">
        <f t="shared" si="16"/>
        <v>Chair</v>
      </c>
    </row>
    <row r="165" spans="1:20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17"/>
        <v>641.39</v>
      </c>
      <c r="P165" t="str">
        <f t="shared" si="12"/>
        <v>Correct</v>
      </c>
      <c r="Q165" t="str">
        <f t="shared" si="13"/>
        <v>June</v>
      </c>
      <c r="R165" s="3">
        <f t="shared" si="14"/>
        <v>2025</v>
      </c>
      <c r="S165" s="3" t="str">
        <f t="shared" si="15"/>
        <v>Q2</v>
      </c>
      <c r="T165" s="3" t="str">
        <f t="shared" si="16"/>
        <v>Tablet</v>
      </c>
    </row>
    <row r="166" spans="1:20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17"/>
        <v>2682.9</v>
      </c>
      <c r="P166" t="str">
        <f t="shared" si="12"/>
        <v>Correct</v>
      </c>
      <c r="Q166" t="str">
        <f t="shared" si="13"/>
        <v>December</v>
      </c>
      <c r="R166" s="3">
        <f t="shared" si="14"/>
        <v>2023</v>
      </c>
      <c r="S166" s="3" t="str">
        <f t="shared" si="15"/>
        <v>Q4</v>
      </c>
      <c r="T166" s="3" t="str">
        <f t="shared" si="16"/>
        <v>Desk</v>
      </c>
    </row>
    <row r="167" spans="1:20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17"/>
        <v>1000.58</v>
      </c>
      <c r="P167" t="str">
        <f t="shared" si="12"/>
        <v>Correct</v>
      </c>
      <c r="Q167" t="str">
        <f t="shared" si="13"/>
        <v>September</v>
      </c>
      <c r="R167" s="3">
        <f t="shared" si="14"/>
        <v>2024</v>
      </c>
      <c r="S167" s="3" t="str">
        <f t="shared" si="15"/>
        <v>Q3</v>
      </c>
      <c r="T167" s="3" t="str">
        <f t="shared" si="16"/>
        <v>Monitor</v>
      </c>
    </row>
    <row r="168" spans="1:20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17"/>
        <v>258.87</v>
      </c>
      <c r="P168" t="str">
        <f t="shared" si="12"/>
        <v>Correct</v>
      </c>
      <c r="Q168" t="str">
        <f t="shared" si="13"/>
        <v>March</v>
      </c>
      <c r="R168" s="3">
        <f t="shared" si="14"/>
        <v>2025</v>
      </c>
      <c r="S168" s="3" t="str">
        <f t="shared" si="15"/>
        <v>Q1</v>
      </c>
      <c r="T168" s="3" t="str">
        <f t="shared" si="16"/>
        <v>Chair</v>
      </c>
    </row>
    <row r="169" spans="1:20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17"/>
        <v>768.28</v>
      </c>
      <c r="P169" t="str">
        <f t="shared" si="12"/>
        <v>Correct</v>
      </c>
      <c r="Q169" t="str">
        <f t="shared" si="13"/>
        <v>May</v>
      </c>
      <c r="R169" s="3">
        <f t="shared" si="14"/>
        <v>2023</v>
      </c>
      <c r="S169" s="3" t="str">
        <f t="shared" si="15"/>
        <v>Q2</v>
      </c>
      <c r="T169" s="3" t="str">
        <f t="shared" si="16"/>
        <v>Chair</v>
      </c>
    </row>
    <row r="170" spans="1:20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17"/>
        <v>594.96</v>
      </c>
      <c r="P170" t="str">
        <f t="shared" si="12"/>
        <v>Correct</v>
      </c>
      <c r="Q170" t="str">
        <f t="shared" si="13"/>
        <v>January</v>
      </c>
      <c r="R170" s="3">
        <f t="shared" si="14"/>
        <v>2025</v>
      </c>
      <c r="S170" s="3" t="str">
        <f t="shared" si="15"/>
        <v>Q1</v>
      </c>
      <c r="T170" s="3" t="str">
        <f t="shared" si="16"/>
        <v>Printer</v>
      </c>
    </row>
    <row r="171" spans="1:20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17"/>
        <v>427.82</v>
      </c>
      <c r="P171" t="str">
        <f t="shared" si="12"/>
        <v>Correct</v>
      </c>
      <c r="Q171" t="str">
        <f t="shared" si="13"/>
        <v>April</v>
      </c>
      <c r="R171" s="3">
        <f t="shared" si="14"/>
        <v>2024</v>
      </c>
      <c r="S171" s="3" t="str">
        <f t="shared" si="15"/>
        <v>Q2</v>
      </c>
      <c r="T171" s="3" t="str">
        <f t="shared" si="16"/>
        <v>Printer</v>
      </c>
    </row>
    <row r="172" spans="1:20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17"/>
        <v>2651.76</v>
      </c>
      <c r="P172" t="str">
        <f t="shared" si="12"/>
        <v>Correct</v>
      </c>
      <c r="Q172" t="str">
        <f t="shared" si="13"/>
        <v>April</v>
      </c>
      <c r="R172" s="3">
        <f t="shared" si="14"/>
        <v>2025</v>
      </c>
      <c r="S172" s="3" t="str">
        <f t="shared" si="15"/>
        <v>Q2</v>
      </c>
      <c r="T172" s="3" t="str">
        <f t="shared" si="16"/>
        <v>Desk</v>
      </c>
    </row>
    <row r="173" spans="1:20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17"/>
        <v>296.44</v>
      </c>
      <c r="P173" t="str">
        <f t="shared" si="12"/>
        <v>Correct</v>
      </c>
      <c r="Q173" t="str">
        <f t="shared" si="13"/>
        <v>August</v>
      </c>
      <c r="R173" s="3">
        <f t="shared" si="14"/>
        <v>2023</v>
      </c>
      <c r="S173" s="3" t="str">
        <f t="shared" si="15"/>
        <v>Q3</v>
      </c>
      <c r="T173" s="3" t="str">
        <f t="shared" si="16"/>
        <v>Tablet</v>
      </c>
    </row>
    <row r="174" spans="1:20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17"/>
        <v>254.12</v>
      </c>
      <c r="P174" t="str">
        <f t="shared" si="12"/>
        <v>Correct</v>
      </c>
      <c r="Q174" t="str">
        <f t="shared" si="13"/>
        <v>April</v>
      </c>
      <c r="R174" s="3">
        <f t="shared" si="14"/>
        <v>2025</v>
      </c>
      <c r="S174" s="3" t="str">
        <f t="shared" si="15"/>
        <v>Q2</v>
      </c>
      <c r="T174" s="3" t="str">
        <f t="shared" si="16"/>
        <v>Printer</v>
      </c>
    </row>
    <row r="175" spans="1:20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17"/>
        <v>1993.38</v>
      </c>
      <c r="P175" t="str">
        <f t="shared" si="12"/>
        <v>Correct</v>
      </c>
      <c r="Q175" t="str">
        <f t="shared" si="13"/>
        <v>March</v>
      </c>
      <c r="R175" s="3">
        <f t="shared" si="14"/>
        <v>2024</v>
      </c>
      <c r="S175" s="3" t="str">
        <f t="shared" si="15"/>
        <v>Q1</v>
      </c>
      <c r="T175" s="3" t="str">
        <f t="shared" si="16"/>
        <v>Phone</v>
      </c>
    </row>
    <row r="176" spans="1:20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17"/>
        <v>2403.2399999999998</v>
      </c>
      <c r="P176" t="str">
        <f t="shared" si="12"/>
        <v>Correct</v>
      </c>
      <c r="Q176" t="str">
        <f t="shared" si="13"/>
        <v>April</v>
      </c>
      <c r="R176" s="3">
        <f t="shared" si="14"/>
        <v>2024</v>
      </c>
      <c r="S176" s="3" t="str">
        <f t="shared" si="15"/>
        <v>Q2</v>
      </c>
      <c r="T176" s="3" t="str">
        <f t="shared" si="16"/>
        <v>Printer</v>
      </c>
    </row>
    <row r="177" spans="1:20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17"/>
        <v>341.70000000000005</v>
      </c>
      <c r="P177" t="str">
        <f t="shared" si="12"/>
        <v>Correct</v>
      </c>
      <c r="Q177" t="str">
        <f t="shared" si="13"/>
        <v>February</v>
      </c>
      <c r="R177" s="3">
        <f t="shared" si="14"/>
        <v>2025</v>
      </c>
      <c r="S177" s="3" t="str">
        <f t="shared" si="15"/>
        <v>Q1</v>
      </c>
      <c r="T177" s="3" t="str">
        <f t="shared" si="16"/>
        <v>Chair</v>
      </c>
    </row>
    <row r="178" spans="1:20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17"/>
        <v>1723.32</v>
      </c>
      <c r="P178" t="str">
        <f t="shared" si="12"/>
        <v>Correct</v>
      </c>
      <c r="Q178" t="str">
        <f t="shared" si="13"/>
        <v>June</v>
      </c>
      <c r="R178" s="3">
        <f t="shared" si="14"/>
        <v>2025</v>
      </c>
      <c r="S178" s="3" t="str">
        <f t="shared" si="15"/>
        <v>Q2</v>
      </c>
      <c r="T178" s="3" t="str">
        <f t="shared" si="16"/>
        <v>Tablet</v>
      </c>
    </row>
    <row r="179" spans="1:20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17"/>
        <v>2158.4499999999998</v>
      </c>
      <c r="P179" t="str">
        <f t="shared" si="12"/>
        <v>Correct</v>
      </c>
      <c r="Q179" t="str">
        <f t="shared" si="13"/>
        <v>August</v>
      </c>
      <c r="R179" s="3">
        <f t="shared" si="14"/>
        <v>2023</v>
      </c>
      <c r="S179" s="3" t="str">
        <f t="shared" si="15"/>
        <v>Q3</v>
      </c>
      <c r="T179" s="3" t="str">
        <f t="shared" si="16"/>
        <v>Chair</v>
      </c>
    </row>
    <row r="180" spans="1:20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17"/>
        <v>2048.2399999999998</v>
      </c>
      <c r="P180" t="str">
        <f t="shared" si="12"/>
        <v>Correct</v>
      </c>
      <c r="Q180" t="str">
        <f t="shared" si="13"/>
        <v>April</v>
      </c>
      <c r="R180" s="3">
        <f t="shared" si="14"/>
        <v>2024</v>
      </c>
      <c r="S180" s="3" t="str">
        <f t="shared" si="15"/>
        <v>Q2</v>
      </c>
      <c r="T180" s="3" t="str">
        <f t="shared" si="16"/>
        <v>Chair</v>
      </c>
    </row>
    <row r="181" spans="1:20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17"/>
        <v>1619.73</v>
      </c>
      <c r="P181" t="str">
        <f t="shared" si="12"/>
        <v>Correct</v>
      </c>
      <c r="Q181" t="str">
        <f t="shared" si="13"/>
        <v>November</v>
      </c>
      <c r="R181" s="3">
        <f t="shared" si="14"/>
        <v>2024</v>
      </c>
      <c r="S181" s="3" t="str">
        <f t="shared" si="15"/>
        <v>Q4</v>
      </c>
      <c r="T181" s="3" t="str">
        <f t="shared" si="16"/>
        <v>Laptop</v>
      </c>
    </row>
    <row r="182" spans="1:20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17"/>
        <v>1580.35</v>
      </c>
      <c r="P182" t="str">
        <f t="shared" si="12"/>
        <v>Correct</v>
      </c>
      <c r="Q182" t="str">
        <f t="shared" si="13"/>
        <v>March</v>
      </c>
      <c r="R182" s="3">
        <f t="shared" si="14"/>
        <v>2023</v>
      </c>
      <c r="S182" s="3" t="str">
        <f t="shared" si="15"/>
        <v>Q1</v>
      </c>
      <c r="T182" s="3" t="str">
        <f t="shared" si="16"/>
        <v>Tablet</v>
      </c>
    </row>
    <row r="183" spans="1:20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17"/>
        <v>2021.9499999999998</v>
      </c>
      <c r="P183" t="str">
        <f t="shared" si="12"/>
        <v>Correct</v>
      </c>
      <c r="Q183" t="str">
        <f t="shared" si="13"/>
        <v>August</v>
      </c>
      <c r="R183" s="3">
        <f t="shared" si="14"/>
        <v>2024</v>
      </c>
      <c r="S183" s="3" t="str">
        <f t="shared" si="15"/>
        <v>Q3</v>
      </c>
      <c r="T183" s="3" t="str">
        <f t="shared" si="16"/>
        <v>Printer</v>
      </c>
    </row>
    <row r="184" spans="1:20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17"/>
        <v>600.54</v>
      </c>
      <c r="P184" t="str">
        <f t="shared" si="12"/>
        <v>Correct</v>
      </c>
      <c r="Q184" t="str">
        <f t="shared" si="13"/>
        <v>March</v>
      </c>
      <c r="R184" s="3">
        <f t="shared" si="14"/>
        <v>2025</v>
      </c>
      <c r="S184" s="3" t="str">
        <f t="shared" si="15"/>
        <v>Q1</v>
      </c>
      <c r="T184" s="3" t="str">
        <f t="shared" si="16"/>
        <v>Desk</v>
      </c>
    </row>
    <row r="185" spans="1:20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17"/>
        <v>931.4</v>
      </c>
      <c r="P185" t="str">
        <f t="shared" si="12"/>
        <v>Correct</v>
      </c>
      <c r="Q185" t="str">
        <f t="shared" si="13"/>
        <v>April</v>
      </c>
      <c r="R185" s="3">
        <f t="shared" si="14"/>
        <v>2024</v>
      </c>
      <c r="S185" s="3" t="str">
        <f t="shared" si="15"/>
        <v>Q2</v>
      </c>
      <c r="T185" s="3" t="str">
        <f t="shared" si="16"/>
        <v>Monitor</v>
      </c>
    </row>
    <row r="186" spans="1:20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17"/>
        <v>858.16</v>
      </c>
      <c r="P186" t="str">
        <f t="shared" si="12"/>
        <v>Correct</v>
      </c>
      <c r="Q186" t="str">
        <f t="shared" si="13"/>
        <v>April</v>
      </c>
      <c r="R186" s="3">
        <f t="shared" si="14"/>
        <v>2024</v>
      </c>
      <c r="S186" s="3" t="str">
        <f t="shared" si="15"/>
        <v>Q2</v>
      </c>
      <c r="T186" s="3" t="str">
        <f t="shared" si="16"/>
        <v>Tablet</v>
      </c>
    </row>
    <row r="187" spans="1:20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17"/>
        <v>210.7</v>
      </c>
      <c r="P187" t="str">
        <f t="shared" si="12"/>
        <v>Correct</v>
      </c>
      <c r="Q187" t="str">
        <f t="shared" si="13"/>
        <v>February</v>
      </c>
      <c r="R187" s="3">
        <f t="shared" si="14"/>
        <v>2025</v>
      </c>
      <c r="S187" s="3" t="str">
        <f t="shared" si="15"/>
        <v>Q1</v>
      </c>
      <c r="T187" s="3" t="str">
        <f t="shared" si="16"/>
        <v>Laptop</v>
      </c>
    </row>
    <row r="188" spans="1:20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17"/>
        <v>267.10000000000002</v>
      </c>
      <c r="P188" t="str">
        <f t="shared" si="12"/>
        <v>Correct</v>
      </c>
      <c r="Q188" t="str">
        <f t="shared" si="13"/>
        <v>December</v>
      </c>
      <c r="R188" s="3">
        <f t="shared" si="14"/>
        <v>2023</v>
      </c>
      <c r="S188" s="3" t="str">
        <f t="shared" si="15"/>
        <v>Q4</v>
      </c>
      <c r="T188" s="3" t="str">
        <f t="shared" si="16"/>
        <v>Phone</v>
      </c>
    </row>
    <row r="189" spans="1:20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17"/>
        <v>590.87</v>
      </c>
      <c r="P189" t="str">
        <f t="shared" si="12"/>
        <v>Correct</v>
      </c>
      <c r="Q189" t="str">
        <f t="shared" si="13"/>
        <v>February</v>
      </c>
      <c r="R189" s="3">
        <f t="shared" si="14"/>
        <v>2023</v>
      </c>
      <c r="S189" s="3" t="str">
        <f t="shared" si="15"/>
        <v>Q1</v>
      </c>
      <c r="T189" s="3" t="str">
        <f t="shared" si="16"/>
        <v>Chair</v>
      </c>
    </row>
    <row r="190" spans="1:20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17"/>
        <v>727.82</v>
      </c>
      <c r="P190" t="str">
        <f t="shared" si="12"/>
        <v>Correct</v>
      </c>
      <c r="Q190" t="str">
        <f t="shared" si="13"/>
        <v>March</v>
      </c>
      <c r="R190" s="3">
        <f t="shared" si="14"/>
        <v>2025</v>
      </c>
      <c r="S190" s="3" t="str">
        <f t="shared" si="15"/>
        <v>Q1</v>
      </c>
      <c r="T190" s="3" t="str">
        <f t="shared" si="16"/>
        <v>Chair</v>
      </c>
    </row>
    <row r="191" spans="1:20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17"/>
        <v>2147.25</v>
      </c>
      <c r="P191" t="str">
        <f t="shared" si="12"/>
        <v>Correct</v>
      </c>
      <c r="Q191" t="str">
        <f t="shared" si="13"/>
        <v>July</v>
      </c>
      <c r="R191" s="3">
        <f t="shared" si="14"/>
        <v>2023</v>
      </c>
      <c r="S191" s="3" t="str">
        <f t="shared" si="15"/>
        <v>Q3</v>
      </c>
      <c r="T191" s="3" t="str">
        <f t="shared" si="16"/>
        <v>Printer</v>
      </c>
    </row>
    <row r="192" spans="1:20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17"/>
        <v>671.09999999999991</v>
      </c>
      <c r="P192" t="str">
        <f t="shared" si="12"/>
        <v>Correct</v>
      </c>
      <c r="Q192" t="str">
        <f t="shared" si="13"/>
        <v>August</v>
      </c>
      <c r="R192" s="3">
        <f t="shared" si="14"/>
        <v>2024</v>
      </c>
      <c r="S192" s="3" t="str">
        <f t="shared" si="15"/>
        <v>Q3</v>
      </c>
      <c r="T192" s="3" t="str">
        <f t="shared" si="16"/>
        <v>Printer</v>
      </c>
    </row>
    <row r="193" spans="1:20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17"/>
        <v>977.74</v>
      </c>
      <c r="P193" t="str">
        <f t="shared" si="12"/>
        <v>Correct</v>
      </c>
      <c r="Q193" t="str">
        <f t="shared" si="13"/>
        <v>March</v>
      </c>
      <c r="R193" s="3">
        <f t="shared" si="14"/>
        <v>2025</v>
      </c>
      <c r="S193" s="3" t="str">
        <f t="shared" si="15"/>
        <v>Q1</v>
      </c>
      <c r="T193" s="3" t="str">
        <f t="shared" si="16"/>
        <v>Laptop</v>
      </c>
    </row>
    <row r="194" spans="1:20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17"/>
        <v>645.46</v>
      </c>
      <c r="P194" t="str">
        <f t="shared" ref="P194:P257" si="18">IF(O194=N194,"Correct","Error")</f>
        <v>Correct</v>
      </c>
      <c r="Q194" t="str">
        <f t="shared" ref="Q194:Q257" si="19">TEXT(B194,"MMMM")</f>
        <v>August</v>
      </c>
      <c r="R194" s="3">
        <f t="shared" ref="R194:R257" si="20">YEAR(B194)</f>
        <v>2023</v>
      </c>
      <c r="S194" s="3" t="str">
        <f t="shared" ref="S194:S257" si="21">"Q"&amp;ROUNDUP(MONTH(B194)/3,0)</f>
        <v>Q3</v>
      </c>
      <c r="T194" s="3" t="str">
        <f t="shared" ref="T194:T257" si="22">TRIM(D194)</f>
        <v>Desk</v>
      </c>
    </row>
    <row r="195" spans="1:20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23">E195*F195</f>
        <v>46.66</v>
      </c>
      <c r="P195" t="str">
        <f t="shared" si="18"/>
        <v>Correct</v>
      </c>
      <c r="Q195" t="str">
        <f t="shared" si="19"/>
        <v>July</v>
      </c>
      <c r="R195" s="3">
        <f t="shared" si="20"/>
        <v>2023</v>
      </c>
      <c r="S195" s="3" t="str">
        <f t="shared" si="21"/>
        <v>Q3</v>
      </c>
      <c r="T195" s="3" t="str">
        <f t="shared" si="22"/>
        <v>Printer</v>
      </c>
    </row>
    <row r="196" spans="1:20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23"/>
        <v>249.57</v>
      </c>
      <c r="P196" t="str">
        <f t="shared" si="18"/>
        <v>Correct</v>
      </c>
      <c r="Q196" t="str">
        <f t="shared" si="19"/>
        <v>June</v>
      </c>
      <c r="R196" s="3">
        <f t="shared" si="20"/>
        <v>2024</v>
      </c>
      <c r="S196" s="3" t="str">
        <f t="shared" si="21"/>
        <v>Q2</v>
      </c>
      <c r="T196" s="3" t="str">
        <f t="shared" si="22"/>
        <v>Monitor</v>
      </c>
    </row>
    <row r="197" spans="1:20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23"/>
        <v>1857.63</v>
      </c>
      <c r="P197" t="str">
        <f t="shared" si="18"/>
        <v>Correct</v>
      </c>
      <c r="Q197" t="str">
        <f t="shared" si="19"/>
        <v>April</v>
      </c>
      <c r="R197" s="3">
        <f t="shared" si="20"/>
        <v>2024</v>
      </c>
      <c r="S197" s="3" t="str">
        <f t="shared" si="21"/>
        <v>Q2</v>
      </c>
      <c r="T197" s="3" t="str">
        <f t="shared" si="22"/>
        <v>Chair</v>
      </c>
    </row>
    <row r="198" spans="1:20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23"/>
        <v>868.52</v>
      </c>
      <c r="P198" t="str">
        <f t="shared" si="18"/>
        <v>Correct</v>
      </c>
      <c r="Q198" t="str">
        <f t="shared" si="19"/>
        <v>January</v>
      </c>
      <c r="R198" s="3">
        <f t="shared" si="20"/>
        <v>2025</v>
      </c>
      <c r="S198" s="3" t="str">
        <f t="shared" si="21"/>
        <v>Q1</v>
      </c>
      <c r="T198" s="3" t="str">
        <f t="shared" si="22"/>
        <v>Desk</v>
      </c>
    </row>
    <row r="199" spans="1:20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23"/>
        <v>1107.55</v>
      </c>
      <c r="P199" t="str">
        <f t="shared" si="18"/>
        <v>Correct</v>
      </c>
      <c r="Q199" t="str">
        <f t="shared" si="19"/>
        <v>August</v>
      </c>
      <c r="R199" s="3">
        <f t="shared" si="20"/>
        <v>2023</v>
      </c>
      <c r="S199" s="3" t="str">
        <f t="shared" si="21"/>
        <v>Q3</v>
      </c>
      <c r="T199" s="3" t="str">
        <f t="shared" si="22"/>
        <v>Laptop</v>
      </c>
    </row>
    <row r="200" spans="1:20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23"/>
        <v>1361.2</v>
      </c>
      <c r="P200" t="str">
        <f t="shared" si="18"/>
        <v>Correct</v>
      </c>
      <c r="Q200" t="str">
        <f t="shared" si="19"/>
        <v>June</v>
      </c>
      <c r="R200" s="3">
        <f t="shared" si="20"/>
        <v>2024</v>
      </c>
      <c r="S200" s="3" t="str">
        <f t="shared" si="21"/>
        <v>Q2</v>
      </c>
      <c r="T200" s="3" t="str">
        <f t="shared" si="22"/>
        <v>Laptop</v>
      </c>
    </row>
    <row r="201" spans="1:20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23"/>
        <v>625</v>
      </c>
      <c r="P201" t="str">
        <f t="shared" si="18"/>
        <v>Correct</v>
      </c>
      <c r="Q201" t="str">
        <f t="shared" si="19"/>
        <v>January</v>
      </c>
      <c r="R201" s="3">
        <f t="shared" si="20"/>
        <v>2025</v>
      </c>
      <c r="S201" s="3" t="str">
        <f t="shared" si="21"/>
        <v>Q1</v>
      </c>
      <c r="T201" s="3" t="str">
        <f t="shared" si="22"/>
        <v>Phone</v>
      </c>
    </row>
    <row r="202" spans="1:20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23"/>
        <v>2166.3000000000002</v>
      </c>
      <c r="P202" t="str">
        <f t="shared" si="18"/>
        <v>Correct</v>
      </c>
      <c r="Q202" t="str">
        <f t="shared" si="19"/>
        <v>June</v>
      </c>
      <c r="R202" s="3">
        <f t="shared" si="20"/>
        <v>2025</v>
      </c>
      <c r="S202" s="3" t="str">
        <f t="shared" si="21"/>
        <v>Q2</v>
      </c>
      <c r="T202" s="3" t="str">
        <f t="shared" si="22"/>
        <v>Tablet</v>
      </c>
    </row>
    <row r="203" spans="1:20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23"/>
        <v>1349.8</v>
      </c>
      <c r="P203" t="str">
        <f t="shared" si="18"/>
        <v>Correct</v>
      </c>
      <c r="Q203" t="str">
        <f t="shared" si="19"/>
        <v>June</v>
      </c>
      <c r="R203" s="3">
        <f t="shared" si="20"/>
        <v>2023</v>
      </c>
      <c r="S203" s="3" t="str">
        <f t="shared" si="21"/>
        <v>Q2</v>
      </c>
      <c r="T203" s="3" t="str">
        <f t="shared" si="22"/>
        <v>Monitor</v>
      </c>
    </row>
    <row r="204" spans="1:20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23"/>
        <v>761.93999999999994</v>
      </c>
      <c r="P204" t="str">
        <f t="shared" si="18"/>
        <v>Correct</v>
      </c>
      <c r="Q204" t="str">
        <f t="shared" si="19"/>
        <v>February</v>
      </c>
      <c r="R204" s="3">
        <f t="shared" si="20"/>
        <v>2025</v>
      </c>
      <c r="S204" s="3" t="str">
        <f t="shared" si="21"/>
        <v>Q1</v>
      </c>
      <c r="T204" s="3" t="str">
        <f t="shared" si="22"/>
        <v>Monitor</v>
      </c>
    </row>
    <row r="205" spans="1:20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23"/>
        <v>1070.52</v>
      </c>
      <c r="P205" t="str">
        <f t="shared" si="18"/>
        <v>Correct</v>
      </c>
      <c r="Q205" t="str">
        <f t="shared" si="19"/>
        <v>January</v>
      </c>
      <c r="R205" s="3">
        <f t="shared" si="20"/>
        <v>2025</v>
      </c>
      <c r="S205" s="3" t="str">
        <f t="shared" si="21"/>
        <v>Q1</v>
      </c>
      <c r="T205" s="3" t="str">
        <f t="shared" si="22"/>
        <v>Printer</v>
      </c>
    </row>
    <row r="206" spans="1:20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23"/>
        <v>1654.84</v>
      </c>
      <c r="P206" t="str">
        <f t="shared" si="18"/>
        <v>Correct</v>
      </c>
      <c r="Q206" t="str">
        <f t="shared" si="19"/>
        <v>September</v>
      </c>
      <c r="R206" s="3">
        <f t="shared" si="20"/>
        <v>2023</v>
      </c>
      <c r="S206" s="3" t="str">
        <f t="shared" si="21"/>
        <v>Q3</v>
      </c>
      <c r="T206" s="3" t="str">
        <f t="shared" si="22"/>
        <v>Laptop</v>
      </c>
    </row>
    <row r="207" spans="1:20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23"/>
        <v>442.16999999999996</v>
      </c>
      <c r="P207" t="str">
        <f t="shared" si="18"/>
        <v>Correct</v>
      </c>
      <c r="Q207" t="str">
        <f t="shared" si="19"/>
        <v>March</v>
      </c>
      <c r="R207" s="3">
        <f t="shared" si="20"/>
        <v>2023</v>
      </c>
      <c r="S207" s="3" t="str">
        <f t="shared" si="21"/>
        <v>Q1</v>
      </c>
      <c r="T207" s="3" t="str">
        <f t="shared" si="22"/>
        <v>Desk</v>
      </c>
    </row>
    <row r="208" spans="1:20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23"/>
        <v>916.4</v>
      </c>
      <c r="P208" t="str">
        <f t="shared" si="18"/>
        <v>Correct</v>
      </c>
      <c r="Q208" t="str">
        <f t="shared" si="19"/>
        <v>April</v>
      </c>
      <c r="R208" s="3">
        <f t="shared" si="20"/>
        <v>2024</v>
      </c>
      <c r="S208" s="3" t="str">
        <f t="shared" si="21"/>
        <v>Q2</v>
      </c>
      <c r="T208" s="3" t="str">
        <f t="shared" si="22"/>
        <v>Laptop</v>
      </c>
    </row>
    <row r="209" spans="1:20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23"/>
        <v>121.96</v>
      </c>
      <c r="P209" t="str">
        <f t="shared" si="18"/>
        <v>Correct</v>
      </c>
      <c r="Q209" t="str">
        <f t="shared" si="19"/>
        <v>March</v>
      </c>
      <c r="R209" s="3">
        <f t="shared" si="20"/>
        <v>2025</v>
      </c>
      <c r="S209" s="3" t="str">
        <f t="shared" si="21"/>
        <v>Q1</v>
      </c>
      <c r="T209" s="3" t="str">
        <f t="shared" si="22"/>
        <v>Phone</v>
      </c>
    </row>
    <row r="210" spans="1:20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23"/>
        <v>816.64</v>
      </c>
      <c r="P210" t="str">
        <f t="shared" si="18"/>
        <v>Correct</v>
      </c>
      <c r="Q210" t="str">
        <f t="shared" si="19"/>
        <v>October</v>
      </c>
      <c r="R210" s="3">
        <f t="shared" si="20"/>
        <v>2024</v>
      </c>
      <c r="S210" s="3" t="str">
        <f t="shared" si="21"/>
        <v>Q4</v>
      </c>
      <c r="T210" s="3" t="str">
        <f t="shared" si="22"/>
        <v>Desk</v>
      </c>
    </row>
    <row r="211" spans="1:20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23"/>
        <v>939.85</v>
      </c>
      <c r="P211" t="str">
        <f t="shared" si="18"/>
        <v>Correct</v>
      </c>
      <c r="Q211" t="str">
        <f t="shared" si="19"/>
        <v>August</v>
      </c>
      <c r="R211" s="3">
        <f t="shared" si="20"/>
        <v>2023</v>
      </c>
      <c r="S211" s="3" t="str">
        <f t="shared" si="21"/>
        <v>Q3</v>
      </c>
      <c r="T211" s="3" t="str">
        <f t="shared" si="22"/>
        <v>Tablet</v>
      </c>
    </row>
    <row r="212" spans="1:20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23"/>
        <v>1075.44</v>
      </c>
      <c r="P212" t="str">
        <f t="shared" si="18"/>
        <v>Correct</v>
      </c>
      <c r="Q212" t="str">
        <f t="shared" si="19"/>
        <v>December</v>
      </c>
      <c r="R212" s="3">
        <f t="shared" si="20"/>
        <v>2024</v>
      </c>
      <c r="S212" s="3" t="str">
        <f t="shared" si="21"/>
        <v>Q4</v>
      </c>
      <c r="T212" s="3" t="str">
        <f t="shared" si="22"/>
        <v>Chair</v>
      </c>
    </row>
    <row r="213" spans="1:20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23"/>
        <v>580.74</v>
      </c>
      <c r="P213" t="str">
        <f t="shared" si="18"/>
        <v>Correct</v>
      </c>
      <c r="Q213" t="str">
        <f t="shared" si="19"/>
        <v>January</v>
      </c>
      <c r="R213" s="3">
        <f t="shared" si="20"/>
        <v>2025</v>
      </c>
      <c r="S213" s="3" t="str">
        <f t="shared" si="21"/>
        <v>Q1</v>
      </c>
      <c r="T213" s="3" t="str">
        <f t="shared" si="22"/>
        <v>Printer</v>
      </c>
    </row>
    <row r="214" spans="1:20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23"/>
        <v>265.38</v>
      </c>
      <c r="P214" t="str">
        <f t="shared" si="18"/>
        <v>Correct</v>
      </c>
      <c r="Q214" t="str">
        <f t="shared" si="19"/>
        <v>June</v>
      </c>
      <c r="R214" s="3">
        <f t="shared" si="20"/>
        <v>2023</v>
      </c>
      <c r="S214" s="3" t="str">
        <f t="shared" si="21"/>
        <v>Q2</v>
      </c>
      <c r="T214" s="3" t="str">
        <f t="shared" si="22"/>
        <v>Monitor</v>
      </c>
    </row>
    <row r="215" spans="1:20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23"/>
        <v>634.4</v>
      </c>
      <c r="P215" t="str">
        <f t="shared" si="18"/>
        <v>Correct</v>
      </c>
      <c r="Q215" t="str">
        <f t="shared" si="19"/>
        <v>April</v>
      </c>
      <c r="R215" s="3">
        <f t="shared" si="20"/>
        <v>2023</v>
      </c>
      <c r="S215" s="3" t="str">
        <f t="shared" si="21"/>
        <v>Q2</v>
      </c>
      <c r="T215" s="3" t="str">
        <f t="shared" si="22"/>
        <v>Laptop</v>
      </c>
    </row>
    <row r="216" spans="1:20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23"/>
        <v>1222.8800000000001</v>
      </c>
      <c r="P216" t="str">
        <f t="shared" si="18"/>
        <v>Correct</v>
      </c>
      <c r="Q216" t="str">
        <f t="shared" si="19"/>
        <v>August</v>
      </c>
      <c r="R216" s="3">
        <f t="shared" si="20"/>
        <v>2024</v>
      </c>
      <c r="S216" s="3" t="str">
        <f t="shared" si="21"/>
        <v>Q3</v>
      </c>
      <c r="T216" s="3" t="str">
        <f t="shared" si="22"/>
        <v>Desk</v>
      </c>
    </row>
    <row r="217" spans="1:20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23"/>
        <v>303.60000000000002</v>
      </c>
      <c r="P217" t="str">
        <f t="shared" si="18"/>
        <v>Correct</v>
      </c>
      <c r="Q217" t="str">
        <f t="shared" si="19"/>
        <v>August</v>
      </c>
      <c r="R217" s="3">
        <f t="shared" si="20"/>
        <v>2023</v>
      </c>
      <c r="S217" s="3" t="str">
        <f t="shared" si="21"/>
        <v>Q3</v>
      </c>
      <c r="T217" s="3" t="str">
        <f t="shared" si="22"/>
        <v>Printer</v>
      </c>
    </row>
    <row r="218" spans="1:20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23"/>
        <v>1984</v>
      </c>
      <c r="P218" t="str">
        <f t="shared" si="18"/>
        <v>Correct</v>
      </c>
      <c r="Q218" t="str">
        <f t="shared" si="19"/>
        <v>April</v>
      </c>
      <c r="R218" s="3">
        <f t="shared" si="20"/>
        <v>2025</v>
      </c>
      <c r="S218" s="3" t="str">
        <f t="shared" si="21"/>
        <v>Q2</v>
      </c>
      <c r="T218" s="3" t="str">
        <f t="shared" si="22"/>
        <v>Monitor</v>
      </c>
    </row>
    <row r="219" spans="1:20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23"/>
        <v>1286.04</v>
      </c>
      <c r="P219" t="str">
        <f t="shared" si="18"/>
        <v>Correct</v>
      </c>
      <c r="Q219" t="str">
        <f t="shared" si="19"/>
        <v>May</v>
      </c>
      <c r="R219" s="3">
        <f t="shared" si="20"/>
        <v>2024</v>
      </c>
      <c r="S219" s="3" t="str">
        <f t="shared" si="21"/>
        <v>Q2</v>
      </c>
      <c r="T219" s="3" t="str">
        <f t="shared" si="22"/>
        <v>Desk</v>
      </c>
    </row>
    <row r="220" spans="1:20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23"/>
        <v>337.38</v>
      </c>
      <c r="P220" t="str">
        <f t="shared" si="18"/>
        <v>Correct</v>
      </c>
      <c r="Q220" t="str">
        <f t="shared" si="19"/>
        <v>April</v>
      </c>
      <c r="R220" s="3">
        <f t="shared" si="20"/>
        <v>2023</v>
      </c>
      <c r="S220" s="3" t="str">
        <f t="shared" si="21"/>
        <v>Q2</v>
      </c>
      <c r="T220" s="3" t="str">
        <f t="shared" si="22"/>
        <v>Tablet</v>
      </c>
    </row>
    <row r="221" spans="1:20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23"/>
        <v>309.85000000000002</v>
      </c>
      <c r="P221" t="str">
        <f t="shared" si="18"/>
        <v>Correct</v>
      </c>
      <c r="Q221" t="str">
        <f t="shared" si="19"/>
        <v>May</v>
      </c>
      <c r="R221" s="3">
        <f t="shared" si="20"/>
        <v>2025</v>
      </c>
      <c r="S221" s="3" t="str">
        <f t="shared" si="21"/>
        <v>Q2</v>
      </c>
      <c r="T221" s="3" t="str">
        <f t="shared" si="22"/>
        <v>Laptop</v>
      </c>
    </row>
    <row r="222" spans="1:20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23"/>
        <v>746.34</v>
      </c>
      <c r="P222" t="str">
        <f t="shared" si="18"/>
        <v>Correct</v>
      </c>
      <c r="Q222" t="str">
        <f t="shared" si="19"/>
        <v>July</v>
      </c>
      <c r="R222" s="3">
        <f t="shared" si="20"/>
        <v>2023</v>
      </c>
      <c r="S222" s="3" t="str">
        <f t="shared" si="21"/>
        <v>Q3</v>
      </c>
      <c r="T222" s="3" t="str">
        <f t="shared" si="22"/>
        <v>Laptop</v>
      </c>
    </row>
    <row r="223" spans="1:20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23"/>
        <v>3196.85</v>
      </c>
      <c r="P223" t="str">
        <f t="shared" si="18"/>
        <v>Correct</v>
      </c>
      <c r="Q223" t="str">
        <f t="shared" si="19"/>
        <v>February</v>
      </c>
      <c r="R223" s="3">
        <f t="shared" si="20"/>
        <v>2024</v>
      </c>
      <c r="S223" s="3" t="str">
        <f t="shared" si="21"/>
        <v>Q1</v>
      </c>
      <c r="T223" s="3" t="str">
        <f t="shared" si="22"/>
        <v>Tablet</v>
      </c>
    </row>
    <row r="224" spans="1:20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23"/>
        <v>2773.44</v>
      </c>
      <c r="P224" t="str">
        <f t="shared" si="18"/>
        <v>Correct</v>
      </c>
      <c r="Q224" t="str">
        <f t="shared" si="19"/>
        <v>May</v>
      </c>
      <c r="R224" s="3">
        <f t="shared" si="20"/>
        <v>2023</v>
      </c>
      <c r="S224" s="3" t="str">
        <f t="shared" si="21"/>
        <v>Q2</v>
      </c>
      <c r="T224" s="3" t="str">
        <f t="shared" si="22"/>
        <v>Chair</v>
      </c>
    </row>
    <row r="225" spans="1:20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23"/>
        <v>2771.64</v>
      </c>
      <c r="P225" t="str">
        <f t="shared" si="18"/>
        <v>Correct</v>
      </c>
      <c r="Q225" t="str">
        <f t="shared" si="19"/>
        <v>September</v>
      </c>
      <c r="R225" s="3">
        <f t="shared" si="20"/>
        <v>2024</v>
      </c>
      <c r="S225" s="3" t="str">
        <f t="shared" si="21"/>
        <v>Q3</v>
      </c>
      <c r="T225" s="3" t="str">
        <f t="shared" si="22"/>
        <v>Phone</v>
      </c>
    </row>
    <row r="226" spans="1:20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23"/>
        <v>365.84</v>
      </c>
      <c r="P226" t="str">
        <f t="shared" si="18"/>
        <v>Correct</v>
      </c>
      <c r="Q226" t="str">
        <f t="shared" si="19"/>
        <v>September</v>
      </c>
      <c r="R226" s="3">
        <f t="shared" si="20"/>
        <v>2023</v>
      </c>
      <c r="S226" s="3" t="str">
        <f t="shared" si="21"/>
        <v>Q3</v>
      </c>
      <c r="T226" s="3" t="str">
        <f t="shared" si="22"/>
        <v>Printer</v>
      </c>
    </row>
    <row r="227" spans="1:20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23"/>
        <v>821.87999999999988</v>
      </c>
      <c r="P227" t="str">
        <f t="shared" si="18"/>
        <v>Correct</v>
      </c>
      <c r="Q227" t="str">
        <f t="shared" si="19"/>
        <v>March</v>
      </c>
      <c r="R227" s="3">
        <f t="shared" si="20"/>
        <v>2024</v>
      </c>
      <c r="S227" s="3" t="str">
        <f t="shared" si="21"/>
        <v>Q1</v>
      </c>
      <c r="T227" s="3" t="str">
        <f t="shared" si="22"/>
        <v>Phone</v>
      </c>
    </row>
    <row r="228" spans="1:20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23"/>
        <v>1764.1499999999999</v>
      </c>
      <c r="P228" t="str">
        <f t="shared" si="18"/>
        <v>Correct</v>
      </c>
      <c r="Q228" t="str">
        <f t="shared" si="19"/>
        <v>June</v>
      </c>
      <c r="R228" s="3">
        <f t="shared" si="20"/>
        <v>2025</v>
      </c>
      <c r="S228" s="3" t="str">
        <f t="shared" si="21"/>
        <v>Q2</v>
      </c>
      <c r="T228" s="3" t="str">
        <f t="shared" si="22"/>
        <v>Desk</v>
      </c>
    </row>
    <row r="229" spans="1:20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23"/>
        <v>730.34</v>
      </c>
      <c r="P229" t="str">
        <f t="shared" si="18"/>
        <v>Correct</v>
      </c>
      <c r="Q229" t="str">
        <f t="shared" si="19"/>
        <v>November</v>
      </c>
      <c r="R229" s="3">
        <f t="shared" si="20"/>
        <v>2023</v>
      </c>
      <c r="S229" s="3" t="str">
        <f t="shared" si="21"/>
        <v>Q4</v>
      </c>
      <c r="T229" s="3" t="str">
        <f t="shared" si="22"/>
        <v>Monitor</v>
      </c>
    </row>
    <row r="230" spans="1:20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23"/>
        <v>1543.68</v>
      </c>
      <c r="P230" t="str">
        <f t="shared" si="18"/>
        <v>Correct</v>
      </c>
      <c r="Q230" t="str">
        <f t="shared" si="19"/>
        <v>May</v>
      </c>
      <c r="R230" s="3">
        <f t="shared" si="20"/>
        <v>2023</v>
      </c>
      <c r="S230" s="3" t="str">
        <f t="shared" si="21"/>
        <v>Q2</v>
      </c>
      <c r="T230" s="3" t="str">
        <f t="shared" si="22"/>
        <v>Chair</v>
      </c>
    </row>
    <row r="231" spans="1:20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23"/>
        <v>562.61</v>
      </c>
      <c r="P231" t="str">
        <f t="shared" si="18"/>
        <v>Correct</v>
      </c>
      <c r="Q231" t="str">
        <f t="shared" si="19"/>
        <v>March</v>
      </c>
      <c r="R231" s="3">
        <f t="shared" si="20"/>
        <v>2025</v>
      </c>
      <c r="S231" s="3" t="str">
        <f t="shared" si="21"/>
        <v>Q1</v>
      </c>
      <c r="T231" s="3" t="str">
        <f t="shared" si="22"/>
        <v>Tablet</v>
      </c>
    </row>
    <row r="232" spans="1:20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23"/>
        <v>247.64</v>
      </c>
      <c r="P232" t="str">
        <f t="shared" si="18"/>
        <v>Correct</v>
      </c>
      <c r="Q232" t="str">
        <f t="shared" si="19"/>
        <v>December</v>
      </c>
      <c r="R232" s="3">
        <f t="shared" si="20"/>
        <v>2023</v>
      </c>
      <c r="S232" s="3" t="str">
        <f t="shared" si="21"/>
        <v>Q4</v>
      </c>
      <c r="T232" s="3" t="str">
        <f t="shared" si="22"/>
        <v>Desk</v>
      </c>
    </row>
    <row r="233" spans="1:20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23"/>
        <v>167.6</v>
      </c>
      <c r="P233" t="str">
        <f t="shared" si="18"/>
        <v>Correct</v>
      </c>
      <c r="Q233" t="str">
        <f t="shared" si="19"/>
        <v>November</v>
      </c>
      <c r="R233" s="3">
        <f t="shared" si="20"/>
        <v>2023</v>
      </c>
      <c r="S233" s="3" t="str">
        <f t="shared" si="21"/>
        <v>Q4</v>
      </c>
      <c r="T233" s="3" t="str">
        <f t="shared" si="22"/>
        <v>Phone</v>
      </c>
    </row>
    <row r="234" spans="1:20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23"/>
        <v>1777.76</v>
      </c>
      <c r="P234" t="str">
        <f t="shared" si="18"/>
        <v>Correct</v>
      </c>
      <c r="Q234" t="str">
        <f t="shared" si="19"/>
        <v>May</v>
      </c>
      <c r="R234" s="3">
        <f t="shared" si="20"/>
        <v>2023</v>
      </c>
      <c r="S234" s="3" t="str">
        <f t="shared" si="21"/>
        <v>Q2</v>
      </c>
      <c r="T234" s="3" t="str">
        <f t="shared" si="22"/>
        <v>Printer</v>
      </c>
    </row>
    <row r="235" spans="1:20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23"/>
        <v>933.99</v>
      </c>
      <c r="P235" t="str">
        <f t="shared" si="18"/>
        <v>Correct</v>
      </c>
      <c r="Q235" t="str">
        <f t="shared" si="19"/>
        <v>August</v>
      </c>
      <c r="R235" s="3">
        <f t="shared" si="20"/>
        <v>2024</v>
      </c>
      <c r="S235" s="3" t="str">
        <f t="shared" si="21"/>
        <v>Q3</v>
      </c>
      <c r="T235" s="3" t="str">
        <f t="shared" si="22"/>
        <v>Phone</v>
      </c>
    </row>
    <row r="236" spans="1:20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23"/>
        <v>945.64</v>
      </c>
      <c r="P236" t="str">
        <f t="shared" si="18"/>
        <v>Correct</v>
      </c>
      <c r="Q236" t="str">
        <f t="shared" si="19"/>
        <v>November</v>
      </c>
      <c r="R236" s="3">
        <f t="shared" si="20"/>
        <v>2024</v>
      </c>
      <c r="S236" s="3" t="str">
        <f t="shared" si="21"/>
        <v>Q4</v>
      </c>
      <c r="T236" s="3" t="str">
        <f t="shared" si="22"/>
        <v>Printer</v>
      </c>
    </row>
    <row r="237" spans="1:20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23"/>
        <v>65.45</v>
      </c>
      <c r="P237" t="str">
        <f t="shared" si="18"/>
        <v>Correct</v>
      </c>
      <c r="Q237" t="str">
        <f t="shared" si="19"/>
        <v>February</v>
      </c>
      <c r="R237" s="3">
        <f t="shared" si="20"/>
        <v>2023</v>
      </c>
      <c r="S237" s="3" t="str">
        <f t="shared" si="21"/>
        <v>Q1</v>
      </c>
      <c r="T237" s="3" t="str">
        <f t="shared" si="22"/>
        <v>Desk</v>
      </c>
    </row>
    <row r="238" spans="1:20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23"/>
        <v>318.81</v>
      </c>
      <c r="P238" t="str">
        <f t="shared" si="18"/>
        <v>Correct</v>
      </c>
      <c r="Q238" t="str">
        <f t="shared" si="19"/>
        <v>January</v>
      </c>
      <c r="R238" s="3">
        <f t="shared" si="20"/>
        <v>2023</v>
      </c>
      <c r="S238" s="3" t="str">
        <f t="shared" si="21"/>
        <v>Q1</v>
      </c>
      <c r="T238" s="3" t="str">
        <f t="shared" si="22"/>
        <v>Monitor</v>
      </c>
    </row>
    <row r="239" spans="1:20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23"/>
        <v>1751.16</v>
      </c>
      <c r="P239" t="str">
        <f t="shared" si="18"/>
        <v>Correct</v>
      </c>
      <c r="Q239" t="str">
        <f t="shared" si="19"/>
        <v>March</v>
      </c>
      <c r="R239" s="3">
        <f t="shared" si="20"/>
        <v>2024</v>
      </c>
      <c r="S239" s="3" t="str">
        <f t="shared" si="21"/>
        <v>Q1</v>
      </c>
      <c r="T239" s="3" t="str">
        <f t="shared" si="22"/>
        <v>Monitor</v>
      </c>
    </row>
    <row r="240" spans="1:20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23"/>
        <v>1537.28</v>
      </c>
      <c r="P240" t="str">
        <f t="shared" si="18"/>
        <v>Correct</v>
      </c>
      <c r="Q240" t="str">
        <f t="shared" si="19"/>
        <v>December</v>
      </c>
      <c r="R240" s="3">
        <f t="shared" si="20"/>
        <v>2024</v>
      </c>
      <c r="S240" s="3" t="str">
        <f t="shared" si="21"/>
        <v>Q4</v>
      </c>
      <c r="T240" s="3" t="str">
        <f t="shared" si="22"/>
        <v>Desk</v>
      </c>
    </row>
    <row r="241" spans="1:20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23"/>
        <v>1616.22</v>
      </c>
      <c r="P241" t="str">
        <f t="shared" si="18"/>
        <v>Correct</v>
      </c>
      <c r="Q241" t="str">
        <f t="shared" si="19"/>
        <v>December</v>
      </c>
      <c r="R241" s="3">
        <f t="shared" si="20"/>
        <v>2024</v>
      </c>
      <c r="S241" s="3" t="str">
        <f t="shared" si="21"/>
        <v>Q4</v>
      </c>
      <c r="T241" s="3" t="str">
        <f t="shared" si="22"/>
        <v>Tablet</v>
      </c>
    </row>
    <row r="242" spans="1:20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23"/>
        <v>17.239999999999998</v>
      </c>
      <c r="P242" t="str">
        <f t="shared" si="18"/>
        <v>Correct</v>
      </c>
      <c r="Q242" t="str">
        <f t="shared" si="19"/>
        <v>July</v>
      </c>
      <c r="R242" s="3">
        <f t="shared" si="20"/>
        <v>2023</v>
      </c>
      <c r="S242" s="3" t="str">
        <f t="shared" si="21"/>
        <v>Q3</v>
      </c>
      <c r="T242" s="3" t="str">
        <f t="shared" si="22"/>
        <v>Tablet</v>
      </c>
    </row>
    <row r="243" spans="1:20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23"/>
        <v>3078.35</v>
      </c>
      <c r="P243" t="str">
        <f t="shared" si="18"/>
        <v>Correct</v>
      </c>
      <c r="Q243" t="str">
        <f t="shared" si="19"/>
        <v>May</v>
      </c>
      <c r="R243" s="3">
        <f t="shared" si="20"/>
        <v>2023</v>
      </c>
      <c r="S243" s="3" t="str">
        <f t="shared" si="21"/>
        <v>Q2</v>
      </c>
      <c r="T243" s="3" t="str">
        <f t="shared" si="22"/>
        <v>Chair</v>
      </c>
    </row>
    <row r="244" spans="1:20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23"/>
        <v>438.2</v>
      </c>
      <c r="P244" t="str">
        <f t="shared" si="18"/>
        <v>Correct</v>
      </c>
      <c r="Q244" t="str">
        <f t="shared" si="19"/>
        <v>May</v>
      </c>
      <c r="R244" s="3">
        <f t="shared" si="20"/>
        <v>2023</v>
      </c>
      <c r="S244" s="3" t="str">
        <f t="shared" si="21"/>
        <v>Q2</v>
      </c>
      <c r="T244" s="3" t="str">
        <f t="shared" si="22"/>
        <v>Printer</v>
      </c>
    </row>
    <row r="245" spans="1:20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23"/>
        <v>289.32</v>
      </c>
      <c r="P245" t="str">
        <f t="shared" si="18"/>
        <v>Correct</v>
      </c>
      <c r="Q245" t="str">
        <f t="shared" si="19"/>
        <v>May</v>
      </c>
      <c r="R245" s="3">
        <f t="shared" si="20"/>
        <v>2025</v>
      </c>
      <c r="S245" s="3" t="str">
        <f t="shared" si="21"/>
        <v>Q2</v>
      </c>
      <c r="T245" s="3" t="str">
        <f t="shared" si="22"/>
        <v>Chair</v>
      </c>
    </row>
    <row r="246" spans="1:20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23"/>
        <v>635.54</v>
      </c>
      <c r="P246" t="str">
        <f t="shared" si="18"/>
        <v>Correct</v>
      </c>
      <c r="Q246" t="str">
        <f t="shared" si="19"/>
        <v>February</v>
      </c>
      <c r="R246" s="3">
        <f t="shared" si="20"/>
        <v>2023</v>
      </c>
      <c r="S246" s="3" t="str">
        <f t="shared" si="21"/>
        <v>Q1</v>
      </c>
      <c r="T246" s="3" t="str">
        <f t="shared" si="22"/>
        <v>Desk</v>
      </c>
    </row>
    <row r="247" spans="1:20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23"/>
        <v>223.3</v>
      </c>
      <c r="P247" t="str">
        <f t="shared" si="18"/>
        <v>Correct</v>
      </c>
      <c r="Q247" t="str">
        <f t="shared" si="19"/>
        <v>April</v>
      </c>
      <c r="R247" s="3">
        <f t="shared" si="20"/>
        <v>2025</v>
      </c>
      <c r="S247" s="3" t="str">
        <f t="shared" si="21"/>
        <v>Q2</v>
      </c>
      <c r="T247" s="3" t="str">
        <f t="shared" si="22"/>
        <v>Laptop</v>
      </c>
    </row>
    <row r="248" spans="1:20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23"/>
        <v>684.22</v>
      </c>
      <c r="P248" t="str">
        <f t="shared" si="18"/>
        <v>Correct</v>
      </c>
      <c r="Q248" t="str">
        <f t="shared" si="19"/>
        <v>August</v>
      </c>
      <c r="R248" s="3">
        <f t="shared" si="20"/>
        <v>2024</v>
      </c>
      <c r="S248" s="3" t="str">
        <f t="shared" si="21"/>
        <v>Q3</v>
      </c>
      <c r="T248" s="3" t="str">
        <f t="shared" si="22"/>
        <v>Desk</v>
      </c>
    </row>
    <row r="249" spans="1:20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23"/>
        <v>441.8</v>
      </c>
      <c r="P249" t="str">
        <f t="shared" si="18"/>
        <v>Correct</v>
      </c>
      <c r="Q249" t="str">
        <f t="shared" si="19"/>
        <v>July</v>
      </c>
      <c r="R249" s="3">
        <f t="shared" si="20"/>
        <v>2023</v>
      </c>
      <c r="S249" s="3" t="str">
        <f t="shared" si="21"/>
        <v>Q3</v>
      </c>
      <c r="T249" s="3" t="str">
        <f t="shared" si="22"/>
        <v>Printer</v>
      </c>
    </row>
    <row r="250" spans="1:20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23"/>
        <v>670.54</v>
      </c>
      <c r="P250" t="str">
        <f t="shared" si="18"/>
        <v>Correct</v>
      </c>
      <c r="Q250" t="str">
        <f t="shared" si="19"/>
        <v>July</v>
      </c>
      <c r="R250" s="3">
        <f t="shared" si="20"/>
        <v>2023</v>
      </c>
      <c r="S250" s="3" t="str">
        <f t="shared" si="21"/>
        <v>Q3</v>
      </c>
      <c r="T250" s="3" t="str">
        <f t="shared" si="22"/>
        <v>Laptop</v>
      </c>
    </row>
    <row r="251" spans="1:20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23"/>
        <v>546.19000000000005</v>
      </c>
      <c r="P251" t="str">
        <f t="shared" si="18"/>
        <v>Correct</v>
      </c>
      <c r="Q251" t="str">
        <f t="shared" si="19"/>
        <v>February</v>
      </c>
      <c r="R251" s="3">
        <f t="shared" si="20"/>
        <v>2024</v>
      </c>
      <c r="S251" s="3" t="str">
        <f t="shared" si="21"/>
        <v>Q1</v>
      </c>
      <c r="T251" s="3" t="str">
        <f t="shared" si="22"/>
        <v>Printer</v>
      </c>
    </row>
    <row r="252" spans="1:20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23"/>
        <v>128.85000000000002</v>
      </c>
      <c r="P252" t="str">
        <f t="shared" si="18"/>
        <v>Correct</v>
      </c>
      <c r="Q252" t="str">
        <f t="shared" si="19"/>
        <v>April</v>
      </c>
      <c r="R252" s="3">
        <f t="shared" si="20"/>
        <v>2023</v>
      </c>
      <c r="S252" s="3" t="str">
        <f t="shared" si="21"/>
        <v>Q2</v>
      </c>
      <c r="T252" s="3" t="str">
        <f t="shared" si="22"/>
        <v>Desk</v>
      </c>
    </row>
    <row r="253" spans="1:20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23"/>
        <v>58.76</v>
      </c>
      <c r="P253" t="str">
        <f t="shared" si="18"/>
        <v>Correct</v>
      </c>
      <c r="Q253" t="str">
        <f t="shared" si="19"/>
        <v>May</v>
      </c>
      <c r="R253" s="3">
        <f t="shared" si="20"/>
        <v>2025</v>
      </c>
      <c r="S253" s="3" t="str">
        <f t="shared" si="21"/>
        <v>Q2</v>
      </c>
      <c r="T253" s="3" t="str">
        <f t="shared" si="22"/>
        <v>Monitor</v>
      </c>
    </row>
    <row r="254" spans="1:20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23"/>
        <v>2673.44</v>
      </c>
      <c r="P254" t="str">
        <f t="shared" si="18"/>
        <v>Correct</v>
      </c>
      <c r="Q254" t="str">
        <f t="shared" si="19"/>
        <v>September</v>
      </c>
      <c r="R254" s="3">
        <f t="shared" si="20"/>
        <v>2024</v>
      </c>
      <c r="S254" s="3" t="str">
        <f t="shared" si="21"/>
        <v>Q3</v>
      </c>
      <c r="T254" s="3" t="str">
        <f t="shared" si="22"/>
        <v>Phone</v>
      </c>
    </row>
    <row r="255" spans="1:20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23"/>
        <v>1654.96</v>
      </c>
      <c r="P255" t="str">
        <f t="shared" si="18"/>
        <v>Correct</v>
      </c>
      <c r="Q255" t="str">
        <f t="shared" si="19"/>
        <v>March</v>
      </c>
      <c r="R255" s="3">
        <f t="shared" si="20"/>
        <v>2024</v>
      </c>
      <c r="S255" s="3" t="str">
        <f t="shared" si="21"/>
        <v>Q1</v>
      </c>
      <c r="T255" s="3" t="str">
        <f t="shared" si="22"/>
        <v>Chair</v>
      </c>
    </row>
    <row r="256" spans="1:20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23"/>
        <v>789.56999999999994</v>
      </c>
      <c r="P256" t="str">
        <f t="shared" si="18"/>
        <v>Correct</v>
      </c>
      <c r="Q256" t="str">
        <f t="shared" si="19"/>
        <v>December</v>
      </c>
      <c r="R256" s="3">
        <f t="shared" si="20"/>
        <v>2023</v>
      </c>
      <c r="S256" s="3" t="str">
        <f t="shared" si="21"/>
        <v>Q4</v>
      </c>
      <c r="T256" s="3" t="str">
        <f t="shared" si="22"/>
        <v>Monitor</v>
      </c>
    </row>
    <row r="257" spans="1:20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23"/>
        <v>263.95999999999998</v>
      </c>
      <c r="P257" t="str">
        <f t="shared" si="18"/>
        <v>Correct</v>
      </c>
      <c r="Q257" t="str">
        <f t="shared" si="19"/>
        <v>May</v>
      </c>
      <c r="R257" s="3">
        <f t="shared" si="20"/>
        <v>2024</v>
      </c>
      <c r="S257" s="3" t="str">
        <f t="shared" si="21"/>
        <v>Q2</v>
      </c>
      <c r="T257" s="3" t="str">
        <f t="shared" si="22"/>
        <v>Monitor</v>
      </c>
    </row>
    <row r="258" spans="1:20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23"/>
        <v>379.05</v>
      </c>
      <c r="P258" t="str">
        <f t="shared" ref="P258:P321" si="24">IF(O258=N258,"Correct","Error")</f>
        <v>Correct</v>
      </c>
      <c r="Q258" t="str">
        <f t="shared" ref="Q258:Q321" si="25">TEXT(B258,"MMMM")</f>
        <v>June</v>
      </c>
      <c r="R258" s="3">
        <f t="shared" ref="R258:R321" si="26">YEAR(B258)</f>
        <v>2025</v>
      </c>
      <c r="S258" s="3" t="str">
        <f t="shared" ref="S258:S321" si="27">"Q"&amp;ROUNDUP(MONTH(B258)/3,0)</f>
        <v>Q2</v>
      </c>
      <c r="T258" s="3" t="str">
        <f t="shared" ref="T258:T321" si="28">TRIM(D258)</f>
        <v>Chair</v>
      </c>
    </row>
    <row r="259" spans="1:20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29">E259*F259</f>
        <v>406.22</v>
      </c>
      <c r="P259" t="str">
        <f t="shared" si="24"/>
        <v>Correct</v>
      </c>
      <c r="Q259" t="str">
        <f t="shared" si="25"/>
        <v>April</v>
      </c>
      <c r="R259" s="3">
        <f t="shared" si="26"/>
        <v>2024</v>
      </c>
      <c r="S259" s="3" t="str">
        <f t="shared" si="27"/>
        <v>Q2</v>
      </c>
      <c r="T259" s="3" t="str">
        <f t="shared" si="28"/>
        <v>Phone</v>
      </c>
    </row>
    <row r="260" spans="1:20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29"/>
        <v>206.82</v>
      </c>
      <c r="P260" t="str">
        <f t="shared" si="24"/>
        <v>Correct</v>
      </c>
      <c r="Q260" t="str">
        <f t="shared" si="25"/>
        <v>February</v>
      </c>
      <c r="R260" s="3">
        <f t="shared" si="26"/>
        <v>2024</v>
      </c>
      <c r="S260" s="3" t="str">
        <f t="shared" si="27"/>
        <v>Q1</v>
      </c>
      <c r="T260" s="3" t="str">
        <f t="shared" si="28"/>
        <v>Tablet</v>
      </c>
    </row>
    <row r="261" spans="1:20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29"/>
        <v>1740.48</v>
      </c>
      <c r="P261" t="str">
        <f t="shared" si="24"/>
        <v>Correct</v>
      </c>
      <c r="Q261" t="str">
        <f t="shared" si="25"/>
        <v>June</v>
      </c>
      <c r="R261" s="3">
        <f t="shared" si="26"/>
        <v>2023</v>
      </c>
      <c r="S261" s="3" t="str">
        <f t="shared" si="27"/>
        <v>Q2</v>
      </c>
      <c r="T261" s="3" t="str">
        <f t="shared" si="28"/>
        <v>Chair</v>
      </c>
    </row>
    <row r="262" spans="1:20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29"/>
        <v>815.58</v>
      </c>
      <c r="P262" t="str">
        <f t="shared" si="24"/>
        <v>Correct</v>
      </c>
      <c r="Q262" t="str">
        <f t="shared" si="25"/>
        <v>May</v>
      </c>
      <c r="R262" s="3">
        <f t="shared" si="26"/>
        <v>2023</v>
      </c>
      <c r="S262" s="3" t="str">
        <f t="shared" si="27"/>
        <v>Q2</v>
      </c>
      <c r="T262" s="3" t="str">
        <f t="shared" si="28"/>
        <v>Monitor</v>
      </c>
    </row>
    <row r="263" spans="1:20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29"/>
        <v>868.25</v>
      </c>
      <c r="P263" t="str">
        <f t="shared" si="24"/>
        <v>Correct</v>
      </c>
      <c r="Q263" t="str">
        <f t="shared" si="25"/>
        <v>May</v>
      </c>
      <c r="R263" s="3">
        <f t="shared" si="26"/>
        <v>2025</v>
      </c>
      <c r="S263" s="3" t="str">
        <f t="shared" si="27"/>
        <v>Q2</v>
      </c>
      <c r="T263" s="3" t="str">
        <f t="shared" si="28"/>
        <v>Phone</v>
      </c>
    </row>
    <row r="264" spans="1:20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29"/>
        <v>996.28</v>
      </c>
      <c r="P264" t="str">
        <f t="shared" si="24"/>
        <v>Correct</v>
      </c>
      <c r="Q264" t="str">
        <f t="shared" si="25"/>
        <v>January</v>
      </c>
      <c r="R264" s="3">
        <f t="shared" si="26"/>
        <v>2023</v>
      </c>
      <c r="S264" s="3" t="str">
        <f t="shared" si="27"/>
        <v>Q1</v>
      </c>
      <c r="T264" s="3" t="str">
        <f t="shared" si="28"/>
        <v>Phone</v>
      </c>
    </row>
    <row r="265" spans="1:20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29"/>
        <v>1739.4</v>
      </c>
      <c r="P265" t="str">
        <f t="shared" si="24"/>
        <v>Correct</v>
      </c>
      <c r="Q265" t="str">
        <f t="shared" si="25"/>
        <v>March</v>
      </c>
      <c r="R265" s="3">
        <f t="shared" si="26"/>
        <v>2023</v>
      </c>
      <c r="S265" s="3" t="str">
        <f t="shared" si="27"/>
        <v>Q1</v>
      </c>
      <c r="T265" s="3" t="str">
        <f t="shared" si="28"/>
        <v>Phone</v>
      </c>
    </row>
    <row r="266" spans="1:20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29"/>
        <v>436.77</v>
      </c>
      <c r="P266" t="str">
        <f t="shared" si="24"/>
        <v>Correct</v>
      </c>
      <c r="Q266" t="str">
        <f t="shared" si="25"/>
        <v>August</v>
      </c>
      <c r="R266" s="3">
        <f t="shared" si="26"/>
        <v>2024</v>
      </c>
      <c r="S266" s="3" t="str">
        <f t="shared" si="27"/>
        <v>Q3</v>
      </c>
      <c r="T266" s="3" t="str">
        <f t="shared" si="28"/>
        <v>Tablet</v>
      </c>
    </row>
    <row r="267" spans="1:20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29"/>
        <v>572.13</v>
      </c>
      <c r="P267" t="str">
        <f t="shared" si="24"/>
        <v>Correct</v>
      </c>
      <c r="Q267" t="str">
        <f t="shared" si="25"/>
        <v>December</v>
      </c>
      <c r="R267" s="3">
        <f t="shared" si="26"/>
        <v>2023</v>
      </c>
      <c r="S267" s="3" t="str">
        <f t="shared" si="27"/>
        <v>Q4</v>
      </c>
      <c r="T267" s="3" t="str">
        <f t="shared" si="28"/>
        <v>Printer</v>
      </c>
    </row>
    <row r="268" spans="1:20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29"/>
        <v>2332.2800000000002</v>
      </c>
      <c r="P268" t="str">
        <f t="shared" si="24"/>
        <v>Correct</v>
      </c>
      <c r="Q268" t="str">
        <f t="shared" si="25"/>
        <v>June</v>
      </c>
      <c r="R268" s="3">
        <f t="shared" si="26"/>
        <v>2024</v>
      </c>
      <c r="S268" s="3" t="str">
        <f t="shared" si="27"/>
        <v>Q2</v>
      </c>
      <c r="T268" s="3" t="str">
        <f t="shared" si="28"/>
        <v>Chair</v>
      </c>
    </row>
    <row r="269" spans="1:20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29"/>
        <v>2342.5500000000002</v>
      </c>
      <c r="P269" t="str">
        <f t="shared" si="24"/>
        <v>Correct</v>
      </c>
      <c r="Q269" t="str">
        <f t="shared" si="25"/>
        <v>April</v>
      </c>
      <c r="R269" s="3">
        <f t="shared" si="26"/>
        <v>2025</v>
      </c>
      <c r="S269" s="3" t="str">
        <f t="shared" si="27"/>
        <v>Q2</v>
      </c>
      <c r="T269" s="3" t="str">
        <f t="shared" si="28"/>
        <v>Chair</v>
      </c>
    </row>
    <row r="270" spans="1:20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29"/>
        <v>847.76</v>
      </c>
      <c r="P270" t="str">
        <f t="shared" si="24"/>
        <v>Correct</v>
      </c>
      <c r="Q270" t="str">
        <f t="shared" si="25"/>
        <v>August</v>
      </c>
      <c r="R270" s="3">
        <f t="shared" si="26"/>
        <v>2023</v>
      </c>
      <c r="S270" s="3" t="str">
        <f t="shared" si="27"/>
        <v>Q3</v>
      </c>
      <c r="T270" s="3" t="str">
        <f t="shared" si="28"/>
        <v>Phone</v>
      </c>
    </row>
    <row r="271" spans="1:20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29"/>
        <v>2654.68</v>
      </c>
      <c r="P271" t="str">
        <f t="shared" si="24"/>
        <v>Correct</v>
      </c>
      <c r="Q271" t="str">
        <f t="shared" si="25"/>
        <v>November</v>
      </c>
      <c r="R271" s="3">
        <f t="shared" si="26"/>
        <v>2023</v>
      </c>
      <c r="S271" s="3" t="str">
        <f t="shared" si="27"/>
        <v>Q4</v>
      </c>
      <c r="T271" s="3" t="str">
        <f t="shared" si="28"/>
        <v>Tablet</v>
      </c>
    </row>
    <row r="272" spans="1:20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29"/>
        <v>1239.6400000000001</v>
      </c>
      <c r="P272" t="str">
        <f t="shared" si="24"/>
        <v>Correct</v>
      </c>
      <c r="Q272" t="str">
        <f t="shared" si="25"/>
        <v>June</v>
      </c>
      <c r="R272" s="3">
        <f t="shared" si="26"/>
        <v>2023</v>
      </c>
      <c r="S272" s="3" t="str">
        <f t="shared" si="27"/>
        <v>Q2</v>
      </c>
      <c r="T272" s="3" t="str">
        <f t="shared" si="28"/>
        <v>Printer</v>
      </c>
    </row>
    <row r="273" spans="1:20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29"/>
        <v>542.07000000000005</v>
      </c>
      <c r="P273" t="str">
        <f t="shared" si="24"/>
        <v>Correct</v>
      </c>
      <c r="Q273" t="str">
        <f t="shared" si="25"/>
        <v>March</v>
      </c>
      <c r="R273" s="3">
        <f t="shared" si="26"/>
        <v>2023</v>
      </c>
      <c r="S273" s="3" t="str">
        <f t="shared" si="27"/>
        <v>Q1</v>
      </c>
      <c r="T273" s="3" t="str">
        <f t="shared" si="28"/>
        <v>Monitor</v>
      </c>
    </row>
    <row r="274" spans="1:20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29"/>
        <v>798.64</v>
      </c>
      <c r="P274" t="str">
        <f t="shared" si="24"/>
        <v>Correct</v>
      </c>
      <c r="Q274" t="str">
        <f t="shared" si="25"/>
        <v>September</v>
      </c>
      <c r="R274" s="3">
        <f t="shared" si="26"/>
        <v>2023</v>
      </c>
      <c r="S274" s="3" t="str">
        <f t="shared" si="27"/>
        <v>Q3</v>
      </c>
      <c r="T274" s="3" t="str">
        <f t="shared" si="28"/>
        <v>Chair</v>
      </c>
    </row>
    <row r="275" spans="1:20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29"/>
        <v>476.5</v>
      </c>
      <c r="P275" t="str">
        <f t="shared" si="24"/>
        <v>Correct</v>
      </c>
      <c r="Q275" t="str">
        <f t="shared" si="25"/>
        <v>October</v>
      </c>
      <c r="R275" s="3">
        <f t="shared" si="26"/>
        <v>2024</v>
      </c>
      <c r="S275" s="3" t="str">
        <f t="shared" si="27"/>
        <v>Q4</v>
      </c>
      <c r="T275" s="3" t="str">
        <f t="shared" si="28"/>
        <v>Tablet</v>
      </c>
    </row>
    <row r="276" spans="1:20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29"/>
        <v>364.8</v>
      </c>
      <c r="P276" t="str">
        <f t="shared" si="24"/>
        <v>Correct</v>
      </c>
      <c r="Q276" t="str">
        <f t="shared" si="25"/>
        <v>February</v>
      </c>
      <c r="R276" s="3">
        <f t="shared" si="26"/>
        <v>2023</v>
      </c>
      <c r="S276" s="3" t="str">
        <f t="shared" si="27"/>
        <v>Q1</v>
      </c>
      <c r="T276" s="3" t="str">
        <f t="shared" si="28"/>
        <v>Phone</v>
      </c>
    </row>
    <row r="277" spans="1:20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29"/>
        <v>130.13999999999999</v>
      </c>
      <c r="P277" t="str">
        <f t="shared" si="24"/>
        <v>Correct</v>
      </c>
      <c r="Q277" t="str">
        <f t="shared" si="25"/>
        <v>November</v>
      </c>
      <c r="R277" s="3">
        <f t="shared" si="26"/>
        <v>2023</v>
      </c>
      <c r="S277" s="3" t="str">
        <f t="shared" si="27"/>
        <v>Q4</v>
      </c>
      <c r="T277" s="3" t="str">
        <f t="shared" si="28"/>
        <v>Chair</v>
      </c>
    </row>
    <row r="278" spans="1:20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29"/>
        <v>1201.1400000000001</v>
      </c>
      <c r="P278" t="str">
        <f t="shared" si="24"/>
        <v>Correct</v>
      </c>
      <c r="Q278" t="str">
        <f t="shared" si="25"/>
        <v>March</v>
      </c>
      <c r="R278" s="3">
        <f t="shared" si="26"/>
        <v>2025</v>
      </c>
      <c r="S278" s="3" t="str">
        <f t="shared" si="27"/>
        <v>Q1</v>
      </c>
      <c r="T278" s="3" t="str">
        <f t="shared" si="28"/>
        <v>Printer</v>
      </c>
    </row>
    <row r="279" spans="1:20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29"/>
        <v>454.6</v>
      </c>
      <c r="P279" t="str">
        <f t="shared" si="24"/>
        <v>Correct</v>
      </c>
      <c r="Q279" t="str">
        <f t="shared" si="25"/>
        <v>September</v>
      </c>
      <c r="R279" s="3">
        <f t="shared" si="26"/>
        <v>2024</v>
      </c>
      <c r="S279" s="3" t="str">
        <f t="shared" si="27"/>
        <v>Q3</v>
      </c>
      <c r="T279" s="3" t="str">
        <f t="shared" si="28"/>
        <v>Chair</v>
      </c>
    </row>
    <row r="280" spans="1:20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29"/>
        <v>1812.3</v>
      </c>
      <c r="P280" t="str">
        <f t="shared" si="24"/>
        <v>Correct</v>
      </c>
      <c r="Q280" t="str">
        <f t="shared" si="25"/>
        <v>November</v>
      </c>
      <c r="R280" s="3">
        <f t="shared" si="26"/>
        <v>2024</v>
      </c>
      <c r="S280" s="3" t="str">
        <f t="shared" si="27"/>
        <v>Q4</v>
      </c>
      <c r="T280" s="3" t="str">
        <f t="shared" si="28"/>
        <v>Laptop</v>
      </c>
    </row>
    <row r="281" spans="1:20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29"/>
        <v>165.03</v>
      </c>
      <c r="P281" t="str">
        <f t="shared" si="24"/>
        <v>Correct</v>
      </c>
      <c r="Q281" t="str">
        <f t="shared" si="25"/>
        <v>October</v>
      </c>
      <c r="R281" s="3">
        <f t="shared" si="26"/>
        <v>2023</v>
      </c>
      <c r="S281" s="3" t="str">
        <f t="shared" si="27"/>
        <v>Q4</v>
      </c>
      <c r="T281" s="3" t="str">
        <f t="shared" si="28"/>
        <v>Chair</v>
      </c>
    </row>
    <row r="282" spans="1:20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29"/>
        <v>1213.8600000000001</v>
      </c>
      <c r="P282" t="str">
        <f t="shared" si="24"/>
        <v>Correct</v>
      </c>
      <c r="Q282" t="str">
        <f t="shared" si="25"/>
        <v>March</v>
      </c>
      <c r="R282" s="3">
        <f t="shared" si="26"/>
        <v>2023</v>
      </c>
      <c r="S282" s="3" t="str">
        <f t="shared" si="27"/>
        <v>Q1</v>
      </c>
      <c r="T282" s="3" t="str">
        <f t="shared" si="28"/>
        <v>Tablet</v>
      </c>
    </row>
    <row r="283" spans="1:20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29"/>
        <v>2619.16</v>
      </c>
      <c r="P283" t="str">
        <f t="shared" si="24"/>
        <v>Correct</v>
      </c>
      <c r="Q283" t="str">
        <f t="shared" si="25"/>
        <v>July</v>
      </c>
      <c r="R283" s="3">
        <f t="shared" si="26"/>
        <v>2023</v>
      </c>
      <c r="S283" s="3" t="str">
        <f t="shared" si="27"/>
        <v>Q3</v>
      </c>
      <c r="T283" s="3" t="str">
        <f t="shared" si="28"/>
        <v>Desk</v>
      </c>
    </row>
    <row r="284" spans="1:20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29"/>
        <v>2551.16</v>
      </c>
      <c r="P284" t="str">
        <f t="shared" si="24"/>
        <v>Correct</v>
      </c>
      <c r="Q284" t="str">
        <f t="shared" si="25"/>
        <v>April</v>
      </c>
      <c r="R284" s="3">
        <f t="shared" si="26"/>
        <v>2025</v>
      </c>
      <c r="S284" s="3" t="str">
        <f t="shared" si="27"/>
        <v>Q2</v>
      </c>
      <c r="T284" s="3" t="str">
        <f t="shared" si="28"/>
        <v>Printer</v>
      </c>
    </row>
    <row r="285" spans="1:20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29"/>
        <v>2161.3200000000002</v>
      </c>
      <c r="P285" t="str">
        <f t="shared" si="24"/>
        <v>Correct</v>
      </c>
      <c r="Q285" t="str">
        <f t="shared" si="25"/>
        <v>February</v>
      </c>
      <c r="R285" s="3">
        <f t="shared" si="26"/>
        <v>2025</v>
      </c>
      <c r="S285" s="3" t="str">
        <f t="shared" si="27"/>
        <v>Q1</v>
      </c>
      <c r="T285" s="3" t="str">
        <f t="shared" si="28"/>
        <v>Laptop</v>
      </c>
    </row>
    <row r="286" spans="1:20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29"/>
        <v>1040.8499999999999</v>
      </c>
      <c r="P286" t="str">
        <f t="shared" si="24"/>
        <v>Correct</v>
      </c>
      <c r="Q286" t="str">
        <f t="shared" si="25"/>
        <v>February</v>
      </c>
      <c r="R286" s="3">
        <f t="shared" si="26"/>
        <v>2023</v>
      </c>
      <c r="S286" s="3" t="str">
        <f t="shared" si="27"/>
        <v>Q1</v>
      </c>
      <c r="T286" s="3" t="str">
        <f t="shared" si="28"/>
        <v>Laptop</v>
      </c>
    </row>
    <row r="287" spans="1:20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29"/>
        <v>338.31</v>
      </c>
      <c r="P287" t="str">
        <f t="shared" si="24"/>
        <v>Correct</v>
      </c>
      <c r="Q287" t="str">
        <f t="shared" si="25"/>
        <v>June</v>
      </c>
      <c r="R287" s="3">
        <f t="shared" si="26"/>
        <v>2025</v>
      </c>
      <c r="S287" s="3" t="str">
        <f t="shared" si="27"/>
        <v>Q2</v>
      </c>
      <c r="T287" s="3" t="str">
        <f t="shared" si="28"/>
        <v>Phone</v>
      </c>
    </row>
    <row r="288" spans="1:20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29"/>
        <v>418.34999999999997</v>
      </c>
      <c r="P288" t="str">
        <f t="shared" si="24"/>
        <v>Correct</v>
      </c>
      <c r="Q288" t="str">
        <f t="shared" si="25"/>
        <v>April</v>
      </c>
      <c r="R288" s="3">
        <f t="shared" si="26"/>
        <v>2025</v>
      </c>
      <c r="S288" s="3" t="str">
        <f t="shared" si="27"/>
        <v>Q2</v>
      </c>
      <c r="T288" s="3" t="str">
        <f t="shared" si="28"/>
        <v>Monitor</v>
      </c>
    </row>
    <row r="289" spans="1:20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29"/>
        <v>2620.7199999999998</v>
      </c>
      <c r="P289" t="str">
        <f t="shared" si="24"/>
        <v>Correct</v>
      </c>
      <c r="Q289" t="str">
        <f t="shared" si="25"/>
        <v>November</v>
      </c>
      <c r="R289" s="3">
        <f t="shared" si="26"/>
        <v>2023</v>
      </c>
      <c r="S289" s="3" t="str">
        <f t="shared" si="27"/>
        <v>Q4</v>
      </c>
      <c r="T289" s="3" t="str">
        <f t="shared" si="28"/>
        <v>Chair</v>
      </c>
    </row>
    <row r="290" spans="1:20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29"/>
        <v>2051</v>
      </c>
      <c r="P290" t="str">
        <f t="shared" si="24"/>
        <v>Correct</v>
      </c>
      <c r="Q290" t="str">
        <f t="shared" si="25"/>
        <v>March</v>
      </c>
      <c r="R290" s="3">
        <f t="shared" si="26"/>
        <v>2023</v>
      </c>
      <c r="S290" s="3" t="str">
        <f t="shared" si="27"/>
        <v>Q1</v>
      </c>
      <c r="T290" s="3" t="str">
        <f t="shared" si="28"/>
        <v>Laptop</v>
      </c>
    </row>
    <row r="291" spans="1:20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29"/>
        <v>641.96</v>
      </c>
      <c r="P291" t="str">
        <f t="shared" si="24"/>
        <v>Correct</v>
      </c>
      <c r="Q291" t="str">
        <f t="shared" si="25"/>
        <v>July</v>
      </c>
      <c r="R291" s="3">
        <f t="shared" si="26"/>
        <v>2023</v>
      </c>
      <c r="S291" s="3" t="str">
        <f t="shared" si="27"/>
        <v>Q3</v>
      </c>
      <c r="T291" s="3" t="str">
        <f t="shared" si="28"/>
        <v>Chair</v>
      </c>
    </row>
    <row r="292" spans="1:20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29"/>
        <v>299.70000000000005</v>
      </c>
      <c r="P292" t="str">
        <f t="shared" si="24"/>
        <v>Correct</v>
      </c>
      <c r="Q292" t="str">
        <f t="shared" si="25"/>
        <v>May</v>
      </c>
      <c r="R292" s="3">
        <f t="shared" si="26"/>
        <v>2023</v>
      </c>
      <c r="S292" s="3" t="str">
        <f t="shared" si="27"/>
        <v>Q2</v>
      </c>
      <c r="T292" s="3" t="str">
        <f t="shared" si="28"/>
        <v>Chair</v>
      </c>
    </row>
    <row r="293" spans="1:20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29"/>
        <v>690.02</v>
      </c>
      <c r="P293" t="str">
        <f t="shared" si="24"/>
        <v>Correct</v>
      </c>
      <c r="Q293" t="str">
        <f t="shared" si="25"/>
        <v>May</v>
      </c>
      <c r="R293" s="3">
        <f t="shared" si="26"/>
        <v>2024</v>
      </c>
      <c r="S293" s="3" t="str">
        <f t="shared" si="27"/>
        <v>Q2</v>
      </c>
      <c r="T293" s="3" t="str">
        <f t="shared" si="28"/>
        <v>Phone</v>
      </c>
    </row>
    <row r="294" spans="1:20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29"/>
        <v>65.95</v>
      </c>
      <c r="P294" t="str">
        <f t="shared" si="24"/>
        <v>Correct</v>
      </c>
      <c r="Q294" t="str">
        <f t="shared" si="25"/>
        <v>January</v>
      </c>
      <c r="R294" s="3">
        <f t="shared" si="26"/>
        <v>2025</v>
      </c>
      <c r="S294" s="3" t="str">
        <f t="shared" si="27"/>
        <v>Q1</v>
      </c>
      <c r="T294" s="3" t="str">
        <f t="shared" si="28"/>
        <v>Monitor</v>
      </c>
    </row>
    <row r="295" spans="1:20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29"/>
        <v>1852.16</v>
      </c>
      <c r="P295" t="str">
        <f t="shared" si="24"/>
        <v>Correct</v>
      </c>
      <c r="Q295" t="str">
        <f t="shared" si="25"/>
        <v>February</v>
      </c>
      <c r="R295" s="3">
        <f t="shared" si="26"/>
        <v>2023</v>
      </c>
      <c r="S295" s="3" t="str">
        <f t="shared" si="27"/>
        <v>Q1</v>
      </c>
      <c r="T295" s="3" t="str">
        <f t="shared" si="28"/>
        <v>Tablet</v>
      </c>
    </row>
    <row r="296" spans="1:20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29"/>
        <v>595.41999999999996</v>
      </c>
      <c r="P296" t="str">
        <f t="shared" si="24"/>
        <v>Correct</v>
      </c>
      <c r="Q296" t="str">
        <f t="shared" si="25"/>
        <v>April</v>
      </c>
      <c r="R296" s="3">
        <f t="shared" si="26"/>
        <v>2025</v>
      </c>
      <c r="S296" s="3" t="str">
        <f t="shared" si="27"/>
        <v>Q2</v>
      </c>
      <c r="T296" s="3" t="str">
        <f t="shared" si="28"/>
        <v>Phone</v>
      </c>
    </row>
    <row r="297" spans="1:20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29"/>
        <v>537.4</v>
      </c>
      <c r="P297" t="str">
        <f t="shared" si="24"/>
        <v>Correct</v>
      </c>
      <c r="Q297" t="str">
        <f t="shared" si="25"/>
        <v>January</v>
      </c>
      <c r="R297" s="3">
        <f t="shared" si="26"/>
        <v>2023</v>
      </c>
      <c r="S297" s="3" t="str">
        <f t="shared" si="27"/>
        <v>Q1</v>
      </c>
      <c r="T297" s="3" t="str">
        <f t="shared" si="28"/>
        <v>Printer</v>
      </c>
    </row>
    <row r="298" spans="1:20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29"/>
        <v>3194</v>
      </c>
      <c r="P298" t="str">
        <f t="shared" si="24"/>
        <v>Correct</v>
      </c>
      <c r="Q298" t="str">
        <f t="shared" si="25"/>
        <v>June</v>
      </c>
      <c r="R298" s="3">
        <f t="shared" si="26"/>
        <v>2024</v>
      </c>
      <c r="S298" s="3" t="str">
        <f t="shared" si="27"/>
        <v>Q2</v>
      </c>
      <c r="T298" s="3" t="str">
        <f t="shared" si="28"/>
        <v>Desk</v>
      </c>
    </row>
    <row r="299" spans="1:20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29"/>
        <v>987.76</v>
      </c>
      <c r="P299" t="str">
        <f t="shared" si="24"/>
        <v>Correct</v>
      </c>
      <c r="Q299" t="str">
        <f t="shared" si="25"/>
        <v>February</v>
      </c>
      <c r="R299" s="3">
        <f t="shared" si="26"/>
        <v>2023</v>
      </c>
      <c r="S299" s="3" t="str">
        <f t="shared" si="27"/>
        <v>Q1</v>
      </c>
      <c r="T299" s="3" t="str">
        <f t="shared" si="28"/>
        <v>Desk</v>
      </c>
    </row>
    <row r="300" spans="1:20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29"/>
        <v>1204.68</v>
      </c>
      <c r="P300" t="str">
        <f t="shared" si="24"/>
        <v>Correct</v>
      </c>
      <c r="Q300" t="str">
        <f t="shared" si="25"/>
        <v>December</v>
      </c>
      <c r="R300" s="3">
        <f t="shared" si="26"/>
        <v>2023</v>
      </c>
      <c r="S300" s="3" t="str">
        <f t="shared" si="27"/>
        <v>Q4</v>
      </c>
      <c r="T300" s="3" t="str">
        <f t="shared" si="28"/>
        <v>Printer</v>
      </c>
    </row>
    <row r="301" spans="1:20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29"/>
        <v>278.66000000000003</v>
      </c>
      <c r="P301" t="str">
        <f t="shared" si="24"/>
        <v>Correct</v>
      </c>
      <c r="Q301" t="str">
        <f t="shared" si="25"/>
        <v>January</v>
      </c>
      <c r="R301" s="3">
        <f t="shared" si="26"/>
        <v>2024</v>
      </c>
      <c r="S301" s="3" t="str">
        <f t="shared" si="27"/>
        <v>Q1</v>
      </c>
      <c r="T301" s="3" t="str">
        <f t="shared" si="28"/>
        <v>Monitor</v>
      </c>
    </row>
    <row r="302" spans="1:20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29"/>
        <v>287.45999999999998</v>
      </c>
      <c r="P302" t="str">
        <f t="shared" si="24"/>
        <v>Correct</v>
      </c>
      <c r="Q302" t="str">
        <f t="shared" si="25"/>
        <v>September</v>
      </c>
      <c r="R302" s="3">
        <f t="shared" si="26"/>
        <v>2024</v>
      </c>
      <c r="S302" s="3" t="str">
        <f t="shared" si="27"/>
        <v>Q3</v>
      </c>
      <c r="T302" s="3" t="str">
        <f t="shared" si="28"/>
        <v>Phone</v>
      </c>
    </row>
    <row r="303" spans="1:20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29"/>
        <v>583.99</v>
      </c>
      <c r="P303" t="str">
        <f t="shared" si="24"/>
        <v>Correct</v>
      </c>
      <c r="Q303" t="str">
        <f t="shared" si="25"/>
        <v>May</v>
      </c>
      <c r="R303" s="3">
        <f t="shared" si="26"/>
        <v>2023</v>
      </c>
      <c r="S303" s="3" t="str">
        <f t="shared" si="27"/>
        <v>Q2</v>
      </c>
      <c r="T303" s="3" t="str">
        <f t="shared" si="28"/>
        <v>Chair</v>
      </c>
    </row>
    <row r="304" spans="1:20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29"/>
        <v>1406.22</v>
      </c>
      <c r="P304" t="str">
        <f t="shared" si="24"/>
        <v>Correct</v>
      </c>
      <c r="Q304" t="str">
        <f t="shared" si="25"/>
        <v>May</v>
      </c>
      <c r="R304" s="3">
        <f t="shared" si="26"/>
        <v>2023</v>
      </c>
      <c r="S304" s="3" t="str">
        <f t="shared" si="27"/>
        <v>Q2</v>
      </c>
      <c r="T304" s="3" t="str">
        <f t="shared" si="28"/>
        <v>Chair</v>
      </c>
    </row>
    <row r="305" spans="1:20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29"/>
        <v>30.54</v>
      </c>
      <c r="P305" t="str">
        <f t="shared" si="24"/>
        <v>Correct</v>
      </c>
      <c r="Q305" t="str">
        <f t="shared" si="25"/>
        <v>December</v>
      </c>
      <c r="R305" s="3">
        <f t="shared" si="26"/>
        <v>2024</v>
      </c>
      <c r="S305" s="3" t="str">
        <f t="shared" si="27"/>
        <v>Q4</v>
      </c>
      <c r="T305" s="3" t="str">
        <f t="shared" si="28"/>
        <v>Tablet</v>
      </c>
    </row>
    <row r="306" spans="1:20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29"/>
        <v>2043.65</v>
      </c>
      <c r="P306" t="str">
        <f t="shared" si="24"/>
        <v>Correct</v>
      </c>
      <c r="Q306" t="str">
        <f t="shared" si="25"/>
        <v>October</v>
      </c>
      <c r="R306" s="3">
        <f t="shared" si="26"/>
        <v>2024</v>
      </c>
      <c r="S306" s="3" t="str">
        <f t="shared" si="27"/>
        <v>Q4</v>
      </c>
      <c r="T306" s="3" t="str">
        <f t="shared" si="28"/>
        <v>Monitor</v>
      </c>
    </row>
    <row r="307" spans="1:20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29"/>
        <v>507.56</v>
      </c>
      <c r="P307" t="str">
        <f t="shared" si="24"/>
        <v>Correct</v>
      </c>
      <c r="Q307" t="str">
        <f t="shared" si="25"/>
        <v>November</v>
      </c>
      <c r="R307" s="3">
        <f t="shared" si="26"/>
        <v>2023</v>
      </c>
      <c r="S307" s="3" t="str">
        <f t="shared" si="27"/>
        <v>Q4</v>
      </c>
      <c r="T307" s="3" t="str">
        <f t="shared" si="28"/>
        <v>Laptop</v>
      </c>
    </row>
    <row r="308" spans="1:20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29"/>
        <v>114.14</v>
      </c>
      <c r="P308" t="str">
        <f t="shared" si="24"/>
        <v>Correct</v>
      </c>
      <c r="Q308" t="str">
        <f t="shared" si="25"/>
        <v>June</v>
      </c>
      <c r="R308" s="3">
        <f t="shared" si="26"/>
        <v>2024</v>
      </c>
      <c r="S308" s="3" t="str">
        <f t="shared" si="27"/>
        <v>Q2</v>
      </c>
      <c r="T308" s="3" t="str">
        <f t="shared" si="28"/>
        <v>Printer</v>
      </c>
    </row>
    <row r="309" spans="1:20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29"/>
        <v>1672.23</v>
      </c>
      <c r="P309" t="str">
        <f t="shared" si="24"/>
        <v>Correct</v>
      </c>
      <c r="Q309" t="str">
        <f t="shared" si="25"/>
        <v>July</v>
      </c>
      <c r="R309" s="3">
        <f t="shared" si="26"/>
        <v>2023</v>
      </c>
      <c r="S309" s="3" t="str">
        <f t="shared" si="27"/>
        <v>Q3</v>
      </c>
      <c r="T309" s="3" t="str">
        <f t="shared" si="28"/>
        <v>Laptop</v>
      </c>
    </row>
    <row r="310" spans="1:20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29"/>
        <v>1346.6999999999998</v>
      </c>
      <c r="P310" t="str">
        <f t="shared" si="24"/>
        <v>Correct</v>
      </c>
      <c r="Q310" t="str">
        <f t="shared" si="25"/>
        <v>December</v>
      </c>
      <c r="R310" s="3">
        <f t="shared" si="26"/>
        <v>2023</v>
      </c>
      <c r="S310" s="3" t="str">
        <f t="shared" si="27"/>
        <v>Q4</v>
      </c>
      <c r="T310" s="3" t="str">
        <f t="shared" si="28"/>
        <v>Printer</v>
      </c>
    </row>
    <row r="311" spans="1:20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29"/>
        <v>2199.04</v>
      </c>
      <c r="P311" t="str">
        <f t="shared" si="24"/>
        <v>Correct</v>
      </c>
      <c r="Q311" t="str">
        <f t="shared" si="25"/>
        <v>October</v>
      </c>
      <c r="R311" s="3">
        <f t="shared" si="26"/>
        <v>2023</v>
      </c>
      <c r="S311" s="3" t="str">
        <f t="shared" si="27"/>
        <v>Q4</v>
      </c>
      <c r="T311" s="3" t="str">
        <f t="shared" si="28"/>
        <v>Chair</v>
      </c>
    </row>
    <row r="312" spans="1:20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29"/>
        <v>397.43999999999994</v>
      </c>
      <c r="P312" t="str">
        <f t="shared" si="24"/>
        <v>Correct</v>
      </c>
      <c r="Q312" t="str">
        <f t="shared" si="25"/>
        <v>February</v>
      </c>
      <c r="R312" s="3">
        <f t="shared" si="26"/>
        <v>2024</v>
      </c>
      <c r="S312" s="3" t="str">
        <f t="shared" si="27"/>
        <v>Q1</v>
      </c>
      <c r="T312" s="3" t="str">
        <f t="shared" si="28"/>
        <v>Printer</v>
      </c>
    </row>
    <row r="313" spans="1:20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29"/>
        <v>2446.85</v>
      </c>
      <c r="P313" t="str">
        <f t="shared" si="24"/>
        <v>Correct</v>
      </c>
      <c r="Q313" t="str">
        <f t="shared" si="25"/>
        <v>May</v>
      </c>
      <c r="R313" s="3">
        <f t="shared" si="26"/>
        <v>2025</v>
      </c>
      <c r="S313" s="3" t="str">
        <f t="shared" si="27"/>
        <v>Q2</v>
      </c>
      <c r="T313" s="3" t="str">
        <f t="shared" si="28"/>
        <v>Desk</v>
      </c>
    </row>
    <row r="314" spans="1:20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29"/>
        <v>331.55</v>
      </c>
      <c r="P314" t="str">
        <f t="shared" si="24"/>
        <v>Correct</v>
      </c>
      <c r="Q314" t="str">
        <f t="shared" si="25"/>
        <v>May</v>
      </c>
      <c r="R314" s="3">
        <f t="shared" si="26"/>
        <v>2025</v>
      </c>
      <c r="S314" s="3" t="str">
        <f t="shared" si="27"/>
        <v>Q2</v>
      </c>
      <c r="T314" s="3" t="str">
        <f t="shared" si="28"/>
        <v>Printer</v>
      </c>
    </row>
    <row r="315" spans="1:20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29"/>
        <v>868.6</v>
      </c>
      <c r="P315" t="str">
        <f t="shared" si="24"/>
        <v>Correct</v>
      </c>
      <c r="Q315" t="str">
        <f t="shared" si="25"/>
        <v>July</v>
      </c>
      <c r="R315" s="3">
        <f t="shared" si="26"/>
        <v>2023</v>
      </c>
      <c r="S315" s="3" t="str">
        <f t="shared" si="27"/>
        <v>Q3</v>
      </c>
      <c r="T315" s="3" t="str">
        <f t="shared" si="28"/>
        <v>Chair</v>
      </c>
    </row>
    <row r="316" spans="1:20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29"/>
        <v>612.36</v>
      </c>
      <c r="P316" t="str">
        <f t="shared" si="24"/>
        <v>Correct</v>
      </c>
      <c r="Q316" t="str">
        <f t="shared" si="25"/>
        <v>October</v>
      </c>
      <c r="R316" s="3">
        <f t="shared" si="26"/>
        <v>2023</v>
      </c>
      <c r="S316" s="3" t="str">
        <f t="shared" si="27"/>
        <v>Q4</v>
      </c>
      <c r="T316" s="3" t="str">
        <f t="shared" si="28"/>
        <v>Desk</v>
      </c>
    </row>
    <row r="317" spans="1:20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29"/>
        <v>458.35</v>
      </c>
      <c r="P317" t="str">
        <f t="shared" si="24"/>
        <v>Correct</v>
      </c>
      <c r="Q317" t="str">
        <f t="shared" si="25"/>
        <v>May</v>
      </c>
      <c r="R317" s="3">
        <f t="shared" si="26"/>
        <v>2025</v>
      </c>
      <c r="S317" s="3" t="str">
        <f t="shared" si="27"/>
        <v>Q2</v>
      </c>
      <c r="T317" s="3" t="str">
        <f t="shared" si="28"/>
        <v>Tablet</v>
      </c>
    </row>
    <row r="318" spans="1:20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29"/>
        <v>1101.1199999999999</v>
      </c>
      <c r="P318" t="str">
        <f t="shared" si="24"/>
        <v>Correct</v>
      </c>
      <c r="Q318" t="str">
        <f t="shared" si="25"/>
        <v>October</v>
      </c>
      <c r="R318" s="3">
        <f t="shared" si="26"/>
        <v>2023</v>
      </c>
      <c r="S318" s="3" t="str">
        <f t="shared" si="27"/>
        <v>Q4</v>
      </c>
      <c r="T318" s="3" t="str">
        <f t="shared" si="28"/>
        <v>Desk</v>
      </c>
    </row>
    <row r="319" spans="1:20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29"/>
        <v>279.89999999999998</v>
      </c>
      <c r="P319" t="str">
        <f t="shared" si="24"/>
        <v>Correct</v>
      </c>
      <c r="Q319" t="str">
        <f t="shared" si="25"/>
        <v>April</v>
      </c>
      <c r="R319" s="3">
        <f t="shared" si="26"/>
        <v>2023</v>
      </c>
      <c r="S319" s="3" t="str">
        <f t="shared" si="27"/>
        <v>Q2</v>
      </c>
      <c r="T319" s="3" t="str">
        <f t="shared" si="28"/>
        <v>Monitor</v>
      </c>
    </row>
    <row r="320" spans="1:20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29"/>
        <v>446.15999999999997</v>
      </c>
      <c r="P320" t="str">
        <f t="shared" si="24"/>
        <v>Correct</v>
      </c>
      <c r="Q320" t="str">
        <f t="shared" si="25"/>
        <v>July</v>
      </c>
      <c r="R320" s="3">
        <f t="shared" si="26"/>
        <v>2024</v>
      </c>
      <c r="S320" s="3" t="str">
        <f t="shared" si="27"/>
        <v>Q3</v>
      </c>
      <c r="T320" s="3" t="str">
        <f t="shared" si="28"/>
        <v>Chair</v>
      </c>
    </row>
    <row r="321" spans="1:20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29"/>
        <v>1126.1199999999999</v>
      </c>
      <c r="P321" t="str">
        <f t="shared" si="24"/>
        <v>Correct</v>
      </c>
      <c r="Q321" t="str">
        <f t="shared" si="25"/>
        <v>December</v>
      </c>
      <c r="R321" s="3">
        <f t="shared" si="26"/>
        <v>2023</v>
      </c>
      <c r="S321" s="3" t="str">
        <f t="shared" si="27"/>
        <v>Q4</v>
      </c>
      <c r="T321" s="3" t="str">
        <f t="shared" si="28"/>
        <v>Laptop</v>
      </c>
    </row>
    <row r="322" spans="1:20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29"/>
        <v>625.51</v>
      </c>
      <c r="P322" t="str">
        <f t="shared" ref="P322:P385" si="30">IF(O322=N322,"Correct","Error")</f>
        <v>Correct</v>
      </c>
      <c r="Q322" t="str">
        <f t="shared" ref="Q322:Q385" si="31">TEXT(B322,"MMMM")</f>
        <v>December</v>
      </c>
      <c r="R322" s="3">
        <f t="shared" ref="R322:R385" si="32">YEAR(B322)</f>
        <v>2024</v>
      </c>
      <c r="S322" s="3" t="str">
        <f t="shared" ref="S322:S385" si="33">"Q"&amp;ROUNDUP(MONTH(B322)/3,0)</f>
        <v>Q4</v>
      </c>
      <c r="T322" s="3" t="str">
        <f t="shared" ref="T322:T385" si="34">TRIM(D322)</f>
        <v>Printer</v>
      </c>
    </row>
    <row r="323" spans="1:20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35">E323*F323</f>
        <v>609.16</v>
      </c>
      <c r="P323" t="str">
        <f t="shared" si="30"/>
        <v>Correct</v>
      </c>
      <c r="Q323" t="str">
        <f t="shared" si="31"/>
        <v>August</v>
      </c>
      <c r="R323" s="3">
        <f t="shared" si="32"/>
        <v>2023</v>
      </c>
      <c r="S323" s="3" t="str">
        <f t="shared" si="33"/>
        <v>Q3</v>
      </c>
      <c r="T323" s="3" t="str">
        <f t="shared" si="34"/>
        <v>Phone</v>
      </c>
    </row>
    <row r="324" spans="1:20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35"/>
        <v>1159.0999999999999</v>
      </c>
      <c r="P324" t="str">
        <f t="shared" si="30"/>
        <v>Correct</v>
      </c>
      <c r="Q324" t="str">
        <f t="shared" si="31"/>
        <v>June</v>
      </c>
      <c r="R324" s="3">
        <f t="shared" si="32"/>
        <v>2024</v>
      </c>
      <c r="S324" s="3" t="str">
        <f t="shared" si="33"/>
        <v>Q2</v>
      </c>
      <c r="T324" s="3" t="str">
        <f t="shared" si="34"/>
        <v>Phone</v>
      </c>
    </row>
    <row r="325" spans="1:20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35"/>
        <v>150.16999999999999</v>
      </c>
      <c r="P325" t="str">
        <f t="shared" si="30"/>
        <v>Correct</v>
      </c>
      <c r="Q325" t="str">
        <f t="shared" si="31"/>
        <v>January</v>
      </c>
      <c r="R325" s="3">
        <f t="shared" si="32"/>
        <v>2025</v>
      </c>
      <c r="S325" s="3" t="str">
        <f t="shared" si="33"/>
        <v>Q1</v>
      </c>
      <c r="T325" s="3" t="str">
        <f t="shared" si="34"/>
        <v>Laptop</v>
      </c>
    </row>
    <row r="326" spans="1:20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35"/>
        <v>212.79000000000002</v>
      </c>
      <c r="P326" t="str">
        <f t="shared" si="30"/>
        <v>Correct</v>
      </c>
      <c r="Q326" t="str">
        <f t="shared" si="31"/>
        <v>June</v>
      </c>
      <c r="R326" s="3">
        <f t="shared" si="32"/>
        <v>2024</v>
      </c>
      <c r="S326" s="3" t="str">
        <f t="shared" si="33"/>
        <v>Q2</v>
      </c>
      <c r="T326" s="3" t="str">
        <f t="shared" si="34"/>
        <v>Tablet</v>
      </c>
    </row>
    <row r="327" spans="1:20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35"/>
        <v>1084.17</v>
      </c>
      <c r="P327" t="str">
        <f t="shared" si="30"/>
        <v>Correct</v>
      </c>
      <c r="Q327" t="str">
        <f t="shared" si="31"/>
        <v>June</v>
      </c>
      <c r="R327" s="3">
        <f t="shared" si="32"/>
        <v>2023</v>
      </c>
      <c r="S327" s="3" t="str">
        <f t="shared" si="33"/>
        <v>Q2</v>
      </c>
      <c r="T327" s="3" t="str">
        <f t="shared" si="34"/>
        <v>Desk</v>
      </c>
    </row>
    <row r="328" spans="1:20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35"/>
        <v>3352.4</v>
      </c>
      <c r="P328" t="str">
        <f t="shared" si="30"/>
        <v>Correct</v>
      </c>
      <c r="Q328" t="str">
        <f t="shared" si="31"/>
        <v>July</v>
      </c>
      <c r="R328" s="3">
        <f t="shared" si="32"/>
        <v>2024</v>
      </c>
      <c r="S328" s="3" t="str">
        <f t="shared" si="33"/>
        <v>Q3</v>
      </c>
      <c r="T328" s="3" t="str">
        <f t="shared" si="34"/>
        <v>Laptop</v>
      </c>
    </row>
    <row r="329" spans="1:20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35"/>
        <v>359.99</v>
      </c>
      <c r="P329" t="str">
        <f t="shared" si="30"/>
        <v>Correct</v>
      </c>
      <c r="Q329" t="str">
        <f t="shared" si="31"/>
        <v>July</v>
      </c>
      <c r="R329" s="3">
        <f t="shared" si="32"/>
        <v>2023</v>
      </c>
      <c r="S329" s="3" t="str">
        <f t="shared" si="33"/>
        <v>Q3</v>
      </c>
      <c r="T329" s="3" t="str">
        <f t="shared" si="34"/>
        <v>Phone</v>
      </c>
    </row>
    <row r="330" spans="1:20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35"/>
        <v>3370.2</v>
      </c>
      <c r="P330" t="str">
        <f t="shared" si="30"/>
        <v>Correct</v>
      </c>
      <c r="Q330" t="str">
        <f t="shared" si="31"/>
        <v>February</v>
      </c>
      <c r="R330" s="3">
        <f t="shared" si="32"/>
        <v>2023</v>
      </c>
      <c r="S330" s="3" t="str">
        <f t="shared" si="33"/>
        <v>Q1</v>
      </c>
      <c r="T330" s="3" t="str">
        <f t="shared" si="34"/>
        <v>Tablet</v>
      </c>
    </row>
    <row r="331" spans="1:20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35"/>
        <v>1132.6400000000001</v>
      </c>
      <c r="P331" t="str">
        <f t="shared" si="30"/>
        <v>Correct</v>
      </c>
      <c r="Q331" t="str">
        <f t="shared" si="31"/>
        <v>December</v>
      </c>
      <c r="R331" s="3">
        <f t="shared" si="32"/>
        <v>2024</v>
      </c>
      <c r="S331" s="3" t="str">
        <f t="shared" si="33"/>
        <v>Q4</v>
      </c>
      <c r="T331" s="3" t="str">
        <f t="shared" si="34"/>
        <v>Chair</v>
      </c>
    </row>
    <row r="332" spans="1:20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35"/>
        <v>1302.6499999999999</v>
      </c>
      <c r="P332" t="str">
        <f t="shared" si="30"/>
        <v>Correct</v>
      </c>
      <c r="Q332" t="str">
        <f t="shared" si="31"/>
        <v>June</v>
      </c>
      <c r="R332" s="3">
        <f t="shared" si="32"/>
        <v>2024</v>
      </c>
      <c r="S332" s="3" t="str">
        <f t="shared" si="33"/>
        <v>Q2</v>
      </c>
      <c r="T332" s="3" t="str">
        <f t="shared" si="34"/>
        <v>Desk</v>
      </c>
    </row>
    <row r="333" spans="1:20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35"/>
        <v>1266.3899999999999</v>
      </c>
      <c r="P333" t="str">
        <f t="shared" si="30"/>
        <v>Correct</v>
      </c>
      <c r="Q333" t="str">
        <f t="shared" si="31"/>
        <v>April</v>
      </c>
      <c r="R333" s="3">
        <f t="shared" si="32"/>
        <v>2023</v>
      </c>
      <c r="S333" s="3" t="str">
        <f t="shared" si="33"/>
        <v>Q2</v>
      </c>
      <c r="T333" s="3" t="str">
        <f t="shared" si="34"/>
        <v>Printer</v>
      </c>
    </row>
    <row r="334" spans="1:20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35"/>
        <v>625.1</v>
      </c>
      <c r="P334" t="str">
        <f t="shared" si="30"/>
        <v>Correct</v>
      </c>
      <c r="Q334" t="str">
        <f t="shared" si="31"/>
        <v>July</v>
      </c>
      <c r="R334" s="3">
        <f t="shared" si="32"/>
        <v>2024</v>
      </c>
      <c r="S334" s="3" t="str">
        <f t="shared" si="33"/>
        <v>Q3</v>
      </c>
      <c r="T334" s="3" t="str">
        <f t="shared" si="34"/>
        <v>Desk</v>
      </c>
    </row>
    <row r="335" spans="1:20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35"/>
        <v>198.51</v>
      </c>
      <c r="P335" t="str">
        <f t="shared" si="30"/>
        <v>Correct</v>
      </c>
      <c r="Q335" t="str">
        <f t="shared" si="31"/>
        <v>April</v>
      </c>
      <c r="R335" s="3">
        <f t="shared" si="32"/>
        <v>2024</v>
      </c>
      <c r="S335" s="3" t="str">
        <f t="shared" si="33"/>
        <v>Q2</v>
      </c>
      <c r="T335" s="3" t="str">
        <f t="shared" si="34"/>
        <v>Phone</v>
      </c>
    </row>
    <row r="336" spans="1:20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35"/>
        <v>899</v>
      </c>
      <c r="P336" t="str">
        <f t="shared" si="30"/>
        <v>Correct</v>
      </c>
      <c r="Q336" t="str">
        <f t="shared" si="31"/>
        <v>March</v>
      </c>
      <c r="R336" s="3">
        <f t="shared" si="32"/>
        <v>2024</v>
      </c>
      <c r="S336" s="3" t="str">
        <f t="shared" si="33"/>
        <v>Q1</v>
      </c>
      <c r="T336" s="3" t="str">
        <f t="shared" si="34"/>
        <v>Chair</v>
      </c>
    </row>
    <row r="337" spans="1:20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35"/>
        <v>617.58000000000004</v>
      </c>
      <c r="P337" t="str">
        <f t="shared" si="30"/>
        <v>Correct</v>
      </c>
      <c r="Q337" t="str">
        <f t="shared" si="31"/>
        <v>March</v>
      </c>
      <c r="R337" s="3">
        <f t="shared" si="32"/>
        <v>2025</v>
      </c>
      <c r="S337" s="3" t="str">
        <f t="shared" si="33"/>
        <v>Q1</v>
      </c>
      <c r="T337" s="3" t="str">
        <f t="shared" si="34"/>
        <v>Tablet</v>
      </c>
    </row>
    <row r="338" spans="1:20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35"/>
        <v>18.2</v>
      </c>
      <c r="P338" t="str">
        <f t="shared" si="30"/>
        <v>Correct</v>
      </c>
      <c r="Q338" t="str">
        <f t="shared" si="31"/>
        <v>December</v>
      </c>
      <c r="R338" s="3">
        <f t="shared" si="32"/>
        <v>2023</v>
      </c>
      <c r="S338" s="3" t="str">
        <f t="shared" si="33"/>
        <v>Q4</v>
      </c>
      <c r="T338" s="3" t="str">
        <f t="shared" si="34"/>
        <v>Laptop</v>
      </c>
    </row>
    <row r="339" spans="1:20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35"/>
        <v>1508.31</v>
      </c>
      <c r="P339" t="str">
        <f t="shared" si="30"/>
        <v>Correct</v>
      </c>
      <c r="Q339" t="str">
        <f t="shared" si="31"/>
        <v>May</v>
      </c>
      <c r="R339" s="3">
        <f t="shared" si="32"/>
        <v>2023</v>
      </c>
      <c r="S339" s="3" t="str">
        <f t="shared" si="33"/>
        <v>Q2</v>
      </c>
      <c r="T339" s="3" t="str">
        <f t="shared" si="34"/>
        <v>Tablet</v>
      </c>
    </row>
    <row r="340" spans="1:20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35"/>
        <v>1527.45</v>
      </c>
      <c r="P340" t="str">
        <f t="shared" si="30"/>
        <v>Correct</v>
      </c>
      <c r="Q340" t="str">
        <f t="shared" si="31"/>
        <v>November</v>
      </c>
      <c r="R340" s="3">
        <f t="shared" si="32"/>
        <v>2023</v>
      </c>
      <c r="S340" s="3" t="str">
        <f t="shared" si="33"/>
        <v>Q4</v>
      </c>
      <c r="T340" s="3" t="str">
        <f t="shared" si="34"/>
        <v>Phone</v>
      </c>
    </row>
    <row r="341" spans="1:20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35"/>
        <v>472.66</v>
      </c>
      <c r="P341" t="str">
        <f t="shared" si="30"/>
        <v>Correct</v>
      </c>
      <c r="Q341" t="str">
        <f t="shared" si="31"/>
        <v>April</v>
      </c>
      <c r="R341" s="3">
        <f t="shared" si="32"/>
        <v>2024</v>
      </c>
      <c r="S341" s="3" t="str">
        <f t="shared" si="33"/>
        <v>Q2</v>
      </c>
      <c r="T341" s="3" t="str">
        <f t="shared" si="34"/>
        <v>Printer</v>
      </c>
    </row>
    <row r="342" spans="1:20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35"/>
        <v>2606.25</v>
      </c>
      <c r="P342" t="str">
        <f t="shared" si="30"/>
        <v>Correct</v>
      </c>
      <c r="Q342" t="str">
        <f t="shared" si="31"/>
        <v>April</v>
      </c>
      <c r="R342" s="3">
        <f t="shared" si="32"/>
        <v>2023</v>
      </c>
      <c r="S342" s="3" t="str">
        <f t="shared" si="33"/>
        <v>Q2</v>
      </c>
      <c r="T342" s="3" t="str">
        <f t="shared" si="34"/>
        <v>Laptop</v>
      </c>
    </row>
    <row r="343" spans="1:20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35"/>
        <v>167.15</v>
      </c>
      <c r="P343" t="str">
        <f t="shared" si="30"/>
        <v>Correct</v>
      </c>
      <c r="Q343" t="str">
        <f t="shared" si="31"/>
        <v>September</v>
      </c>
      <c r="R343" s="3">
        <f t="shared" si="32"/>
        <v>2024</v>
      </c>
      <c r="S343" s="3" t="str">
        <f t="shared" si="33"/>
        <v>Q3</v>
      </c>
      <c r="T343" s="3" t="str">
        <f t="shared" si="34"/>
        <v>Tablet</v>
      </c>
    </row>
    <row r="344" spans="1:20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35"/>
        <v>2332.1</v>
      </c>
      <c r="P344" t="str">
        <f t="shared" si="30"/>
        <v>Correct</v>
      </c>
      <c r="Q344" t="str">
        <f t="shared" si="31"/>
        <v>June</v>
      </c>
      <c r="R344" s="3">
        <f t="shared" si="32"/>
        <v>2025</v>
      </c>
      <c r="S344" s="3" t="str">
        <f t="shared" si="33"/>
        <v>Q2</v>
      </c>
      <c r="T344" s="3" t="str">
        <f t="shared" si="34"/>
        <v>Monitor</v>
      </c>
    </row>
    <row r="345" spans="1:20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35"/>
        <v>527.57000000000005</v>
      </c>
      <c r="P345" t="str">
        <f t="shared" si="30"/>
        <v>Correct</v>
      </c>
      <c r="Q345" t="str">
        <f t="shared" si="31"/>
        <v>February</v>
      </c>
      <c r="R345" s="3">
        <f t="shared" si="32"/>
        <v>2023</v>
      </c>
      <c r="S345" s="3" t="str">
        <f t="shared" si="33"/>
        <v>Q1</v>
      </c>
      <c r="T345" s="3" t="str">
        <f t="shared" si="34"/>
        <v>Printer</v>
      </c>
    </row>
    <row r="346" spans="1:20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35"/>
        <v>1870.02</v>
      </c>
      <c r="P346" t="str">
        <f t="shared" si="30"/>
        <v>Correct</v>
      </c>
      <c r="Q346" t="str">
        <f t="shared" si="31"/>
        <v>March</v>
      </c>
      <c r="R346" s="3">
        <f t="shared" si="32"/>
        <v>2025</v>
      </c>
      <c r="S346" s="3" t="str">
        <f t="shared" si="33"/>
        <v>Q1</v>
      </c>
      <c r="T346" s="3" t="str">
        <f t="shared" si="34"/>
        <v>Tablet</v>
      </c>
    </row>
    <row r="347" spans="1:20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35"/>
        <v>2506.3000000000002</v>
      </c>
      <c r="P347" t="str">
        <f t="shared" si="30"/>
        <v>Correct</v>
      </c>
      <c r="Q347" t="str">
        <f t="shared" si="31"/>
        <v>December</v>
      </c>
      <c r="R347" s="3">
        <f t="shared" si="32"/>
        <v>2023</v>
      </c>
      <c r="S347" s="3" t="str">
        <f t="shared" si="33"/>
        <v>Q4</v>
      </c>
      <c r="T347" s="3" t="str">
        <f t="shared" si="34"/>
        <v>Tablet</v>
      </c>
    </row>
    <row r="348" spans="1:20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35"/>
        <v>655.09</v>
      </c>
      <c r="P348" t="str">
        <f t="shared" si="30"/>
        <v>Correct</v>
      </c>
      <c r="Q348" t="str">
        <f t="shared" si="31"/>
        <v>December</v>
      </c>
      <c r="R348" s="3">
        <f t="shared" si="32"/>
        <v>2024</v>
      </c>
      <c r="S348" s="3" t="str">
        <f t="shared" si="33"/>
        <v>Q4</v>
      </c>
      <c r="T348" s="3" t="str">
        <f t="shared" si="34"/>
        <v>Tablet</v>
      </c>
    </row>
    <row r="349" spans="1:20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35"/>
        <v>1059.1600000000001</v>
      </c>
      <c r="P349" t="str">
        <f t="shared" si="30"/>
        <v>Correct</v>
      </c>
      <c r="Q349" t="str">
        <f t="shared" si="31"/>
        <v>February</v>
      </c>
      <c r="R349" s="3">
        <f t="shared" si="32"/>
        <v>2024</v>
      </c>
      <c r="S349" s="3" t="str">
        <f t="shared" si="33"/>
        <v>Q1</v>
      </c>
      <c r="T349" s="3" t="str">
        <f t="shared" si="34"/>
        <v>Printer</v>
      </c>
    </row>
    <row r="350" spans="1:20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35"/>
        <v>1079.19</v>
      </c>
      <c r="P350" t="str">
        <f t="shared" si="30"/>
        <v>Correct</v>
      </c>
      <c r="Q350" t="str">
        <f t="shared" si="31"/>
        <v>March</v>
      </c>
      <c r="R350" s="3">
        <f t="shared" si="32"/>
        <v>2024</v>
      </c>
      <c r="S350" s="3" t="str">
        <f t="shared" si="33"/>
        <v>Q1</v>
      </c>
      <c r="T350" s="3" t="str">
        <f t="shared" si="34"/>
        <v>Laptop</v>
      </c>
    </row>
    <row r="351" spans="1:20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35"/>
        <v>465.33</v>
      </c>
      <c r="P351" t="str">
        <f t="shared" si="30"/>
        <v>Correct</v>
      </c>
      <c r="Q351" t="str">
        <f t="shared" si="31"/>
        <v>November</v>
      </c>
      <c r="R351" s="3">
        <f t="shared" si="32"/>
        <v>2023</v>
      </c>
      <c r="S351" s="3" t="str">
        <f t="shared" si="33"/>
        <v>Q4</v>
      </c>
      <c r="T351" s="3" t="str">
        <f t="shared" si="34"/>
        <v>Chair</v>
      </c>
    </row>
    <row r="352" spans="1:20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35"/>
        <v>108.82</v>
      </c>
      <c r="P352" t="str">
        <f t="shared" si="30"/>
        <v>Correct</v>
      </c>
      <c r="Q352" t="str">
        <f t="shared" si="31"/>
        <v>June</v>
      </c>
      <c r="R352" s="3">
        <f t="shared" si="32"/>
        <v>2023</v>
      </c>
      <c r="S352" s="3" t="str">
        <f t="shared" si="33"/>
        <v>Q2</v>
      </c>
      <c r="T352" s="3" t="str">
        <f t="shared" si="34"/>
        <v>Chair</v>
      </c>
    </row>
    <row r="353" spans="1:20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35"/>
        <v>64.66</v>
      </c>
      <c r="P353" t="str">
        <f t="shared" si="30"/>
        <v>Correct</v>
      </c>
      <c r="Q353" t="str">
        <f t="shared" si="31"/>
        <v>February</v>
      </c>
      <c r="R353" s="3">
        <f t="shared" si="32"/>
        <v>2025</v>
      </c>
      <c r="S353" s="3" t="str">
        <f t="shared" si="33"/>
        <v>Q1</v>
      </c>
      <c r="T353" s="3" t="str">
        <f t="shared" si="34"/>
        <v>Laptop</v>
      </c>
    </row>
    <row r="354" spans="1:20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35"/>
        <v>869.80000000000007</v>
      </c>
      <c r="P354" t="str">
        <f t="shared" si="30"/>
        <v>Correct</v>
      </c>
      <c r="Q354" t="str">
        <f t="shared" si="31"/>
        <v>August</v>
      </c>
      <c r="R354" s="3">
        <f t="shared" si="32"/>
        <v>2023</v>
      </c>
      <c r="S354" s="3" t="str">
        <f t="shared" si="33"/>
        <v>Q3</v>
      </c>
      <c r="T354" s="3" t="str">
        <f t="shared" si="34"/>
        <v>Chair</v>
      </c>
    </row>
    <row r="355" spans="1:20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35"/>
        <v>630.82000000000005</v>
      </c>
      <c r="P355" t="str">
        <f t="shared" si="30"/>
        <v>Correct</v>
      </c>
      <c r="Q355" t="str">
        <f t="shared" si="31"/>
        <v>March</v>
      </c>
      <c r="R355" s="3">
        <f t="shared" si="32"/>
        <v>2025</v>
      </c>
      <c r="S355" s="3" t="str">
        <f t="shared" si="33"/>
        <v>Q1</v>
      </c>
      <c r="T355" s="3" t="str">
        <f t="shared" si="34"/>
        <v>Tablet</v>
      </c>
    </row>
    <row r="356" spans="1:20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35"/>
        <v>693.41</v>
      </c>
      <c r="P356" t="str">
        <f t="shared" si="30"/>
        <v>Correct</v>
      </c>
      <c r="Q356" t="str">
        <f t="shared" si="31"/>
        <v>July</v>
      </c>
      <c r="R356" s="3">
        <f t="shared" si="32"/>
        <v>2023</v>
      </c>
      <c r="S356" s="3" t="str">
        <f t="shared" si="33"/>
        <v>Q3</v>
      </c>
      <c r="T356" s="3" t="str">
        <f t="shared" si="34"/>
        <v>Phone</v>
      </c>
    </row>
    <row r="357" spans="1:20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35"/>
        <v>1299.99</v>
      </c>
      <c r="P357" t="str">
        <f t="shared" si="30"/>
        <v>Correct</v>
      </c>
      <c r="Q357" t="str">
        <f t="shared" si="31"/>
        <v>June</v>
      </c>
      <c r="R357" s="3">
        <f t="shared" si="32"/>
        <v>2025</v>
      </c>
      <c r="S357" s="3" t="str">
        <f t="shared" si="33"/>
        <v>Q2</v>
      </c>
      <c r="T357" s="3" t="str">
        <f t="shared" si="34"/>
        <v>Tablet</v>
      </c>
    </row>
    <row r="358" spans="1:20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35"/>
        <v>1872.8999999999999</v>
      </c>
      <c r="P358" t="str">
        <f t="shared" si="30"/>
        <v>Correct</v>
      </c>
      <c r="Q358" t="str">
        <f t="shared" si="31"/>
        <v>May</v>
      </c>
      <c r="R358" s="3">
        <f t="shared" si="32"/>
        <v>2023</v>
      </c>
      <c r="S358" s="3" t="str">
        <f t="shared" si="33"/>
        <v>Q2</v>
      </c>
      <c r="T358" s="3" t="str">
        <f t="shared" si="34"/>
        <v>Printer</v>
      </c>
    </row>
    <row r="359" spans="1:20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35"/>
        <v>2042.8</v>
      </c>
      <c r="P359" t="str">
        <f t="shared" si="30"/>
        <v>Correct</v>
      </c>
      <c r="Q359" t="str">
        <f t="shared" si="31"/>
        <v>July</v>
      </c>
      <c r="R359" s="3">
        <f t="shared" si="32"/>
        <v>2023</v>
      </c>
      <c r="S359" s="3" t="str">
        <f t="shared" si="33"/>
        <v>Q3</v>
      </c>
      <c r="T359" s="3" t="str">
        <f t="shared" si="34"/>
        <v>Laptop</v>
      </c>
    </row>
    <row r="360" spans="1:20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35"/>
        <v>367.34</v>
      </c>
      <c r="P360" t="str">
        <f t="shared" si="30"/>
        <v>Correct</v>
      </c>
      <c r="Q360" t="str">
        <f t="shared" si="31"/>
        <v>April</v>
      </c>
      <c r="R360" s="3">
        <f t="shared" si="32"/>
        <v>2024</v>
      </c>
      <c r="S360" s="3" t="str">
        <f t="shared" si="33"/>
        <v>Q2</v>
      </c>
      <c r="T360" s="3" t="str">
        <f t="shared" si="34"/>
        <v>Tablet</v>
      </c>
    </row>
    <row r="361" spans="1:20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35"/>
        <v>2426.2800000000002</v>
      </c>
      <c r="P361" t="str">
        <f t="shared" si="30"/>
        <v>Correct</v>
      </c>
      <c r="Q361" t="str">
        <f t="shared" si="31"/>
        <v>June</v>
      </c>
      <c r="R361" s="3">
        <f t="shared" si="32"/>
        <v>2023</v>
      </c>
      <c r="S361" s="3" t="str">
        <f t="shared" si="33"/>
        <v>Q2</v>
      </c>
      <c r="T361" s="3" t="str">
        <f t="shared" si="34"/>
        <v>Desk</v>
      </c>
    </row>
    <row r="362" spans="1:20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35"/>
        <v>2358.2800000000002</v>
      </c>
      <c r="P362" t="str">
        <f t="shared" si="30"/>
        <v>Correct</v>
      </c>
      <c r="Q362" t="str">
        <f t="shared" si="31"/>
        <v>June</v>
      </c>
      <c r="R362" s="3">
        <f t="shared" si="32"/>
        <v>2024</v>
      </c>
      <c r="S362" s="3" t="str">
        <f t="shared" si="33"/>
        <v>Q2</v>
      </c>
      <c r="T362" s="3" t="str">
        <f t="shared" si="34"/>
        <v>Phone</v>
      </c>
    </row>
    <row r="363" spans="1:20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35"/>
        <v>3299.25</v>
      </c>
      <c r="P363" t="str">
        <f t="shared" si="30"/>
        <v>Correct</v>
      </c>
      <c r="Q363" t="str">
        <f t="shared" si="31"/>
        <v>June</v>
      </c>
      <c r="R363" s="3">
        <f t="shared" si="32"/>
        <v>2024</v>
      </c>
      <c r="S363" s="3" t="str">
        <f t="shared" si="33"/>
        <v>Q2</v>
      </c>
      <c r="T363" s="3" t="str">
        <f t="shared" si="34"/>
        <v>Printer</v>
      </c>
    </row>
    <row r="364" spans="1:20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35"/>
        <v>827.36</v>
      </c>
      <c r="P364" t="str">
        <f t="shared" si="30"/>
        <v>Correct</v>
      </c>
      <c r="Q364" t="str">
        <f t="shared" si="31"/>
        <v>June</v>
      </c>
      <c r="R364" s="3">
        <f t="shared" si="32"/>
        <v>2023</v>
      </c>
      <c r="S364" s="3" t="str">
        <f t="shared" si="33"/>
        <v>Q2</v>
      </c>
      <c r="T364" s="3" t="str">
        <f t="shared" si="34"/>
        <v>Monitor</v>
      </c>
    </row>
    <row r="365" spans="1:20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35"/>
        <v>569.35</v>
      </c>
      <c r="P365" t="str">
        <f t="shared" si="30"/>
        <v>Correct</v>
      </c>
      <c r="Q365" t="str">
        <f t="shared" si="31"/>
        <v>May</v>
      </c>
      <c r="R365" s="3">
        <f t="shared" si="32"/>
        <v>2024</v>
      </c>
      <c r="S365" s="3" t="str">
        <f t="shared" si="33"/>
        <v>Q2</v>
      </c>
      <c r="T365" s="3" t="str">
        <f t="shared" si="34"/>
        <v>Laptop</v>
      </c>
    </row>
    <row r="366" spans="1:20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35"/>
        <v>3143.7</v>
      </c>
      <c r="P366" t="str">
        <f t="shared" si="30"/>
        <v>Correct</v>
      </c>
      <c r="Q366" t="str">
        <f t="shared" si="31"/>
        <v>November</v>
      </c>
      <c r="R366" s="3">
        <f t="shared" si="32"/>
        <v>2023</v>
      </c>
      <c r="S366" s="3" t="str">
        <f t="shared" si="33"/>
        <v>Q4</v>
      </c>
      <c r="T366" s="3" t="str">
        <f t="shared" si="34"/>
        <v>Phone</v>
      </c>
    </row>
    <row r="367" spans="1:20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35"/>
        <v>678.38</v>
      </c>
      <c r="P367" t="str">
        <f t="shared" si="30"/>
        <v>Correct</v>
      </c>
      <c r="Q367" t="str">
        <f t="shared" si="31"/>
        <v>February</v>
      </c>
      <c r="R367" s="3">
        <f t="shared" si="32"/>
        <v>2025</v>
      </c>
      <c r="S367" s="3" t="str">
        <f t="shared" si="33"/>
        <v>Q1</v>
      </c>
      <c r="T367" s="3" t="str">
        <f t="shared" si="34"/>
        <v>Phone</v>
      </c>
    </row>
    <row r="368" spans="1:20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35"/>
        <v>1806.72</v>
      </c>
      <c r="P368" t="str">
        <f t="shared" si="30"/>
        <v>Correct</v>
      </c>
      <c r="Q368" t="str">
        <f t="shared" si="31"/>
        <v>February</v>
      </c>
      <c r="R368" s="3">
        <f t="shared" si="32"/>
        <v>2023</v>
      </c>
      <c r="S368" s="3" t="str">
        <f t="shared" si="33"/>
        <v>Q1</v>
      </c>
      <c r="T368" s="3" t="str">
        <f t="shared" si="34"/>
        <v>Printer</v>
      </c>
    </row>
    <row r="369" spans="1:20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35"/>
        <v>3293.85</v>
      </c>
      <c r="P369" t="str">
        <f t="shared" si="30"/>
        <v>Correct</v>
      </c>
      <c r="Q369" t="str">
        <f t="shared" si="31"/>
        <v>April</v>
      </c>
      <c r="R369" s="3">
        <f t="shared" si="32"/>
        <v>2024</v>
      </c>
      <c r="S369" s="3" t="str">
        <f t="shared" si="33"/>
        <v>Q2</v>
      </c>
      <c r="T369" s="3" t="str">
        <f t="shared" si="34"/>
        <v>Laptop</v>
      </c>
    </row>
    <row r="370" spans="1:20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35"/>
        <v>813.06</v>
      </c>
      <c r="P370" t="str">
        <f t="shared" si="30"/>
        <v>Correct</v>
      </c>
      <c r="Q370" t="str">
        <f t="shared" si="31"/>
        <v>May</v>
      </c>
      <c r="R370" s="3">
        <f t="shared" si="32"/>
        <v>2023</v>
      </c>
      <c r="S370" s="3" t="str">
        <f t="shared" si="33"/>
        <v>Q2</v>
      </c>
      <c r="T370" s="3" t="str">
        <f t="shared" si="34"/>
        <v>Monitor</v>
      </c>
    </row>
    <row r="371" spans="1:20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35"/>
        <v>1876.25</v>
      </c>
      <c r="P371" t="str">
        <f t="shared" si="30"/>
        <v>Correct</v>
      </c>
      <c r="Q371" t="str">
        <f t="shared" si="31"/>
        <v>December</v>
      </c>
      <c r="R371" s="3">
        <f t="shared" si="32"/>
        <v>2024</v>
      </c>
      <c r="S371" s="3" t="str">
        <f t="shared" si="33"/>
        <v>Q4</v>
      </c>
      <c r="T371" s="3" t="str">
        <f t="shared" si="34"/>
        <v>Monitor</v>
      </c>
    </row>
    <row r="372" spans="1:20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35"/>
        <v>312.11</v>
      </c>
      <c r="P372" t="str">
        <f t="shared" si="30"/>
        <v>Correct</v>
      </c>
      <c r="Q372" t="str">
        <f t="shared" si="31"/>
        <v>May</v>
      </c>
      <c r="R372" s="3">
        <f t="shared" si="32"/>
        <v>2025</v>
      </c>
      <c r="S372" s="3" t="str">
        <f t="shared" si="33"/>
        <v>Q2</v>
      </c>
      <c r="T372" s="3" t="str">
        <f t="shared" si="34"/>
        <v>Phone</v>
      </c>
    </row>
    <row r="373" spans="1:20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35"/>
        <v>1538.8</v>
      </c>
      <c r="P373" t="str">
        <f t="shared" si="30"/>
        <v>Correct</v>
      </c>
      <c r="Q373" t="str">
        <f t="shared" si="31"/>
        <v>January</v>
      </c>
      <c r="R373" s="3">
        <f t="shared" si="32"/>
        <v>2023</v>
      </c>
      <c r="S373" s="3" t="str">
        <f t="shared" si="33"/>
        <v>Q1</v>
      </c>
      <c r="T373" s="3" t="str">
        <f t="shared" si="34"/>
        <v>Phone</v>
      </c>
    </row>
    <row r="374" spans="1:20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35"/>
        <v>1450.59</v>
      </c>
      <c r="P374" t="str">
        <f t="shared" si="30"/>
        <v>Correct</v>
      </c>
      <c r="Q374" t="str">
        <f t="shared" si="31"/>
        <v>February</v>
      </c>
      <c r="R374" s="3">
        <f t="shared" si="32"/>
        <v>2025</v>
      </c>
      <c r="S374" s="3" t="str">
        <f t="shared" si="33"/>
        <v>Q1</v>
      </c>
      <c r="T374" s="3" t="str">
        <f t="shared" si="34"/>
        <v>Chair</v>
      </c>
    </row>
    <row r="375" spans="1:20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35"/>
        <v>1023.4499999999999</v>
      </c>
      <c r="P375" t="str">
        <f t="shared" si="30"/>
        <v>Correct</v>
      </c>
      <c r="Q375" t="str">
        <f t="shared" si="31"/>
        <v>January</v>
      </c>
      <c r="R375" s="3">
        <f t="shared" si="32"/>
        <v>2023</v>
      </c>
      <c r="S375" s="3" t="str">
        <f t="shared" si="33"/>
        <v>Q1</v>
      </c>
      <c r="T375" s="3" t="str">
        <f t="shared" si="34"/>
        <v>Laptop</v>
      </c>
    </row>
    <row r="376" spans="1:20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35"/>
        <v>571.9</v>
      </c>
      <c r="P376" t="str">
        <f t="shared" si="30"/>
        <v>Correct</v>
      </c>
      <c r="Q376" t="str">
        <f t="shared" si="31"/>
        <v>September</v>
      </c>
      <c r="R376" s="3">
        <f t="shared" si="32"/>
        <v>2024</v>
      </c>
      <c r="S376" s="3" t="str">
        <f t="shared" si="33"/>
        <v>Q3</v>
      </c>
      <c r="T376" s="3" t="str">
        <f t="shared" si="34"/>
        <v>Monitor</v>
      </c>
    </row>
    <row r="377" spans="1:20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35"/>
        <v>380.12</v>
      </c>
      <c r="P377" t="str">
        <f t="shared" si="30"/>
        <v>Correct</v>
      </c>
      <c r="Q377" t="str">
        <f t="shared" si="31"/>
        <v>January</v>
      </c>
      <c r="R377" s="3">
        <f t="shared" si="32"/>
        <v>2025</v>
      </c>
      <c r="S377" s="3" t="str">
        <f t="shared" si="33"/>
        <v>Q1</v>
      </c>
      <c r="T377" s="3" t="str">
        <f t="shared" si="34"/>
        <v>Monitor</v>
      </c>
    </row>
    <row r="378" spans="1:20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35"/>
        <v>1006.1</v>
      </c>
      <c r="P378" t="str">
        <f t="shared" si="30"/>
        <v>Correct</v>
      </c>
      <c r="Q378" t="str">
        <f t="shared" si="31"/>
        <v>August</v>
      </c>
      <c r="R378" s="3">
        <f t="shared" si="32"/>
        <v>2023</v>
      </c>
      <c r="S378" s="3" t="str">
        <f t="shared" si="33"/>
        <v>Q3</v>
      </c>
      <c r="T378" s="3" t="str">
        <f t="shared" si="34"/>
        <v>Monitor</v>
      </c>
    </row>
    <row r="379" spans="1:20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35"/>
        <v>260.26</v>
      </c>
      <c r="P379" t="str">
        <f t="shared" si="30"/>
        <v>Correct</v>
      </c>
      <c r="Q379" t="str">
        <f t="shared" si="31"/>
        <v>July</v>
      </c>
      <c r="R379" s="3">
        <f t="shared" si="32"/>
        <v>2024</v>
      </c>
      <c r="S379" s="3" t="str">
        <f t="shared" si="33"/>
        <v>Q3</v>
      </c>
      <c r="T379" s="3" t="str">
        <f t="shared" si="34"/>
        <v>Monitor</v>
      </c>
    </row>
    <row r="380" spans="1:20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35"/>
        <v>322.5</v>
      </c>
      <c r="P380" t="str">
        <f t="shared" si="30"/>
        <v>Correct</v>
      </c>
      <c r="Q380" t="str">
        <f t="shared" si="31"/>
        <v>February</v>
      </c>
      <c r="R380" s="3">
        <f t="shared" si="32"/>
        <v>2024</v>
      </c>
      <c r="S380" s="3" t="str">
        <f t="shared" si="33"/>
        <v>Q1</v>
      </c>
      <c r="T380" s="3" t="str">
        <f t="shared" si="34"/>
        <v>Chair</v>
      </c>
    </row>
    <row r="381" spans="1:20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35"/>
        <v>893.01</v>
      </c>
      <c r="P381" t="str">
        <f t="shared" si="30"/>
        <v>Correct</v>
      </c>
      <c r="Q381" t="str">
        <f t="shared" si="31"/>
        <v>September</v>
      </c>
      <c r="R381" s="3">
        <f t="shared" si="32"/>
        <v>2024</v>
      </c>
      <c r="S381" s="3" t="str">
        <f t="shared" si="33"/>
        <v>Q3</v>
      </c>
      <c r="T381" s="3" t="str">
        <f t="shared" si="34"/>
        <v>Phone</v>
      </c>
    </row>
    <row r="382" spans="1:20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35"/>
        <v>1327.6</v>
      </c>
      <c r="P382" t="str">
        <f t="shared" si="30"/>
        <v>Correct</v>
      </c>
      <c r="Q382" t="str">
        <f t="shared" si="31"/>
        <v>April</v>
      </c>
      <c r="R382" s="3">
        <f t="shared" si="32"/>
        <v>2024</v>
      </c>
      <c r="S382" s="3" t="str">
        <f t="shared" si="33"/>
        <v>Q2</v>
      </c>
      <c r="T382" s="3" t="str">
        <f t="shared" si="34"/>
        <v>Printer</v>
      </c>
    </row>
    <row r="383" spans="1:20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35"/>
        <v>191.76</v>
      </c>
      <c r="P383" t="str">
        <f t="shared" si="30"/>
        <v>Correct</v>
      </c>
      <c r="Q383" t="str">
        <f t="shared" si="31"/>
        <v>June</v>
      </c>
      <c r="R383" s="3">
        <f t="shared" si="32"/>
        <v>2023</v>
      </c>
      <c r="S383" s="3" t="str">
        <f t="shared" si="33"/>
        <v>Q2</v>
      </c>
      <c r="T383" s="3" t="str">
        <f t="shared" si="34"/>
        <v>Chair</v>
      </c>
    </row>
    <row r="384" spans="1:20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35"/>
        <v>1052.3599999999999</v>
      </c>
      <c r="P384" t="str">
        <f t="shared" si="30"/>
        <v>Correct</v>
      </c>
      <c r="Q384" t="str">
        <f t="shared" si="31"/>
        <v>January</v>
      </c>
      <c r="R384" s="3">
        <f t="shared" si="32"/>
        <v>2025</v>
      </c>
      <c r="S384" s="3" t="str">
        <f t="shared" si="33"/>
        <v>Q1</v>
      </c>
      <c r="T384" s="3" t="str">
        <f t="shared" si="34"/>
        <v>Printer</v>
      </c>
    </row>
    <row r="385" spans="1:20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35"/>
        <v>1575.2</v>
      </c>
      <c r="P385" t="str">
        <f t="shared" si="30"/>
        <v>Correct</v>
      </c>
      <c r="Q385" t="str">
        <f t="shared" si="31"/>
        <v>January</v>
      </c>
      <c r="R385" s="3">
        <f t="shared" si="32"/>
        <v>2023</v>
      </c>
      <c r="S385" s="3" t="str">
        <f t="shared" si="33"/>
        <v>Q1</v>
      </c>
      <c r="T385" s="3" t="str">
        <f t="shared" si="34"/>
        <v>Chair</v>
      </c>
    </row>
    <row r="386" spans="1:20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35"/>
        <v>1660.71</v>
      </c>
      <c r="P386" t="str">
        <f t="shared" ref="P386:P449" si="36">IF(O386=N386,"Correct","Error")</f>
        <v>Correct</v>
      </c>
      <c r="Q386" t="str">
        <f t="shared" ref="Q386:Q449" si="37">TEXT(B386,"MMMM")</f>
        <v>November</v>
      </c>
      <c r="R386" s="3">
        <f t="shared" ref="R386:R449" si="38">YEAR(B386)</f>
        <v>2024</v>
      </c>
      <c r="S386" s="3" t="str">
        <f t="shared" ref="S386:S449" si="39">"Q"&amp;ROUNDUP(MONTH(B386)/3,0)</f>
        <v>Q4</v>
      </c>
      <c r="T386" s="3" t="str">
        <f t="shared" ref="T386:T449" si="40">TRIM(D386)</f>
        <v>Chair</v>
      </c>
    </row>
    <row r="387" spans="1:20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41">E387*F387</f>
        <v>958.15</v>
      </c>
      <c r="P387" t="str">
        <f t="shared" si="36"/>
        <v>Correct</v>
      </c>
      <c r="Q387" t="str">
        <f t="shared" si="37"/>
        <v>October</v>
      </c>
      <c r="R387" s="3">
        <f t="shared" si="38"/>
        <v>2023</v>
      </c>
      <c r="S387" s="3" t="str">
        <f t="shared" si="39"/>
        <v>Q4</v>
      </c>
      <c r="T387" s="3" t="str">
        <f t="shared" si="40"/>
        <v>Chair</v>
      </c>
    </row>
    <row r="388" spans="1:20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41"/>
        <v>93.02</v>
      </c>
      <c r="P388" t="str">
        <f t="shared" si="36"/>
        <v>Correct</v>
      </c>
      <c r="Q388" t="str">
        <f t="shared" si="37"/>
        <v>April</v>
      </c>
      <c r="R388" s="3">
        <f t="shared" si="38"/>
        <v>2023</v>
      </c>
      <c r="S388" s="3" t="str">
        <f t="shared" si="39"/>
        <v>Q2</v>
      </c>
      <c r="T388" s="3" t="str">
        <f t="shared" si="40"/>
        <v>Tablet</v>
      </c>
    </row>
    <row r="389" spans="1:20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41"/>
        <v>79.06</v>
      </c>
      <c r="P389" t="str">
        <f t="shared" si="36"/>
        <v>Correct</v>
      </c>
      <c r="Q389" t="str">
        <f t="shared" si="37"/>
        <v>June</v>
      </c>
      <c r="R389" s="3">
        <f t="shared" si="38"/>
        <v>2024</v>
      </c>
      <c r="S389" s="3" t="str">
        <f t="shared" si="39"/>
        <v>Q2</v>
      </c>
      <c r="T389" s="3" t="str">
        <f t="shared" si="40"/>
        <v>Printer</v>
      </c>
    </row>
    <row r="390" spans="1:20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41"/>
        <v>1901.91</v>
      </c>
      <c r="P390" t="str">
        <f t="shared" si="36"/>
        <v>Correct</v>
      </c>
      <c r="Q390" t="str">
        <f t="shared" si="37"/>
        <v>December</v>
      </c>
      <c r="R390" s="3">
        <f t="shared" si="38"/>
        <v>2023</v>
      </c>
      <c r="S390" s="3" t="str">
        <f t="shared" si="39"/>
        <v>Q4</v>
      </c>
      <c r="T390" s="3" t="str">
        <f t="shared" si="40"/>
        <v>Printer</v>
      </c>
    </row>
    <row r="391" spans="1:20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41"/>
        <v>2790</v>
      </c>
      <c r="P391" t="str">
        <f t="shared" si="36"/>
        <v>Correct</v>
      </c>
      <c r="Q391" t="str">
        <f t="shared" si="37"/>
        <v>December</v>
      </c>
      <c r="R391" s="3">
        <f t="shared" si="38"/>
        <v>2023</v>
      </c>
      <c r="S391" s="3" t="str">
        <f t="shared" si="39"/>
        <v>Q4</v>
      </c>
      <c r="T391" s="3" t="str">
        <f t="shared" si="40"/>
        <v>Desk</v>
      </c>
    </row>
    <row r="392" spans="1:20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41"/>
        <v>2543.4499999999998</v>
      </c>
      <c r="P392" t="str">
        <f t="shared" si="36"/>
        <v>Correct</v>
      </c>
      <c r="Q392" t="str">
        <f t="shared" si="37"/>
        <v>July</v>
      </c>
      <c r="R392" s="3">
        <f t="shared" si="38"/>
        <v>2023</v>
      </c>
      <c r="S392" s="3" t="str">
        <f t="shared" si="39"/>
        <v>Q3</v>
      </c>
      <c r="T392" s="3" t="str">
        <f t="shared" si="40"/>
        <v>Printer</v>
      </c>
    </row>
    <row r="393" spans="1:20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41"/>
        <v>1054.92</v>
      </c>
      <c r="P393" t="str">
        <f t="shared" si="36"/>
        <v>Correct</v>
      </c>
      <c r="Q393" t="str">
        <f t="shared" si="37"/>
        <v>January</v>
      </c>
      <c r="R393" s="3">
        <f t="shared" si="38"/>
        <v>2025</v>
      </c>
      <c r="S393" s="3" t="str">
        <f t="shared" si="39"/>
        <v>Q1</v>
      </c>
      <c r="T393" s="3" t="str">
        <f t="shared" si="40"/>
        <v>Laptop</v>
      </c>
    </row>
    <row r="394" spans="1:20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41"/>
        <v>627.20000000000005</v>
      </c>
      <c r="P394" t="str">
        <f t="shared" si="36"/>
        <v>Correct</v>
      </c>
      <c r="Q394" t="str">
        <f t="shared" si="37"/>
        <v>February</v>
      </c>
      <c r="R394" s="3">
        <f t="shared" si="38"/>
        <v>2024</v>
      </c>
      <c r="S394" s="3" t="str">
        <f t="shared" si="39"/>
        <v>Q1</v>
      </c>
      <c r="T394" s="3" t="str">
        <f t="shared" si="40"/>
        <v>Phone</v>
      </c>
    </row>
    <row r="395" spans="1:20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41"/>
        <v>75.010000000000005</v>
      </c>
      <c r="P395" t="str">
        <f t="shared" si="36"/>
        <v>Correct</v>
      </c>
      <c r="Q395" t="str">
        <f t="shared" si="37"/>
        <v>July</v>
      </c>
      <c r="R395" s="3">
        <f t="shared" si="38"/>
        <v>2024</v>
      </c>
      <c r="S395" s="3" t="str">
        <f t="shared" si="39"/>
        <v>Q3</v>
      </c>
      <c r="T395" s="3" t="str">
        <f t="shared" si="40"/>
        <v>Printer</v>
      </c>
    </row>
    <row r="396" spans="1:20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41"/>
        <v>2647.75</v>
      </c>
      <c r="P396" t="str">
        <f t="shared" si="36"/>
        <v>Correct</v>
      </c>
      <c r="Q396" t="str">
        <f t="shared" si="37"/>
        <v>July</v>
      </c>
      <c r="R396" s="3">
        <f t="shared" si="38"/>
        <v>2023</v>
      </c>
      <c r="S396" s="3" t="str">
        <f t="shared" si="39"/>
        <v>Q3</v>
      </c>
      <c r="T396" s="3" t="str">
        <f t="shared" si="40"/>
        <v>Desk</v>
      </c>
    </row>
    <row r="397" spans="1:20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41"/>
        <v>382.23</v>
      </c>
      <c r="P397" t="str">
        <f t="shared" si="36"/>
        <v>Correct</v>
      </c>
      <c r="Q397" t="str">
        <f t="shared" si="37"/>
        <v>April</v>
      </c>
      <c r="R397" s="3">
        <f t="shared" si="38"/>
        <v>2025</v>
      </c>
      <c r="S397" s="3" t="str">
        <f t="shared" si="39"/>
        <v>Q2</v>
      </c>
      <c r="T397" s="3" t="str">
        <f t="shared" si="40"/>
        <v>Phone</v>
      </c>
    </row>
    <row r="398" spans="1:20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41"/>
        <v>1435.65</v>
      </c>
      <c r="P398" t="str">
        <f t="shared" si="36"/>
        <v>Correct</v>
      </c>
      <c r="Q398" t="str">
        <f t="shared" si="37"/>
        <v>December</v>
      </c>
      <c r="R398" s="3">
        <f t="shared" si="38"/>
        <v>2023</v>
      </c>
      <c r="S398" s="3" t="str">
        <f t="shared" si="39"/>
        <v>Q4</v>
      </c>
      <c r="T398" s="3" t="str">
        <f t="shared" si="40"/>
        <v>Tablet</v>
      </c>
    </row>
    <row r="399" spans="1:20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41"/>
        <v>427.06</v>
      </c>
      <c r="P399" t="str">
        <f t="shared" si="36"/>
        <v>Correct</v>
      </c>
      <c r="Q399" t="str">
        <f t="shared" si="37"/>
        <v>September</v>
      </c>
      <c r="R399" s="3">
        <f t="shared" si="38"/>
        <v>2023</v>
      </c>
      <c r="S399" s="3" t="str">
        <f t="shared" si="39"/>
        <v>Q3</v>
      </c>
      <c r="T399" s="3" t="str">
        <f t="shared" si="40"/>
        <v>Monitor</v>
      </c>
    </row>
    <row r="400" spans="1:20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41"/>
        <v>269.64999999999998</v>
      </c>
      <c r="P400" t="str">
        <f t="shared" si="36"/>
        <v>Correct</v>
      </c>
      <c r="Q400" t="str">
        <f t="shared" si="37"/>
        <v>September</v>
      </c>
      <c r="R400" s="3">
        <f t="shared" si="38"/>
        <v>2024</v>
      </c>
      <c r="S400" s="3" t="str">
        <f t="shared" si="39"/>
        <v>Q3</v>
      </c>
      <c r="T400" s="3" t="str">
        <f t="shared" si="40"/>
        <v>Phone</v>
      </c>
    </row>
    <row r="401" spans="1:20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41"/>
        <v>2119.65</v>
      </c>
      <c r="P401" t="str">
        <f t="shared" si="36"/>
        <v>Correct</v>
      </c>
      <c r="Q401" t="str">
        <f t="shared" si="37"/>
        <v>January</v>
      </c>
      <c r="R401" s="3">
        <f t="shared" si="38"/>
        <v>2024</v>
      </c>
      <c r="S401" s="3" t="str">
        <f t="shared" si="39"/>
        <v>Q1</v>
      </c>
      <c r="T401" s="3" t="str">
        <f t="shared" si="40"/>
        <v>Tablet</v>
      </c>
    </row>
    <row r="402" spans="1:20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41"/>
        <v>640.88</v>
      </c>
      <c r="P402" t="str">
        <f t="shared" si="36"/>
        <v>Correct</v>
      </c>
      <c r="Q402" t="str">
        <f t="shared" si="37"/>
        <v>September</v>
      </c>
      <c r="R402" s="3">
        <f t="shared" si="38"/>
        <v>2024</v>
      </c>
      <c r="S402" s="3" t="str">
        <f t="shared" si="39"/>
        <v>Q3</v>
      </c>
      <c r="T402" s="3" t="str">
        <f t="shared" si="40"/>
        <v>Desk</v>
      </c>
    </row>
    <row r="403" spans="1:20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41"/>
        <v>538.67999999999995</v>
      </c>
      <c r="P403" t="str">
        <f t="shared" si="36"/>
        <v>Correct</v>
      </c>
      <c r="Q403" t="str">
        <f t="shared" si="37"/>
        <v>April</v>
      </c>
      <c r="R403" s="3">
        <f t="shared" si="38"/>
        <v>2025</v>
      </c>
      <c r="S403" s="3" t="str">
        <f t="shared" si="39"/>
        <v>Q2</v>
      </c>
      <c r="T403" s="3" t="str">
        <f t="shared" si="40"/>
        <v>Printer</v>
      </c>
    </row>
    <row r="404" spans="1:20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41"/>
        <v>1686.9</v>
      </c>
      <c r="P404" t="str">
        <f t="shared" si="36"/>
        <v>Correct</v>
      </c>
      <c r="Q404" t="str">
        <f t="shared" si="37"/>
        <v>April</v>
      </c>
      <c r="R404" s="3">
        <f t="shared" si="38"/>
        <v>2023</v>
      </c>
      <c r="S404" s="3" t="str">
        <f t="shared" si="39"/>
        <v>Q2</v>
      </c>
      <c r="T404" s="3" t="str">
        <f t="shared" si="40"/>
        <v>Printer</v>
      </c>
    </row>
    <row r="405" spans="1:20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41"/>
        <v>620.21</v>
      </c>
      <c r="P405" t="str">
        <f t="shared" si="36"/>
        <v>Correct</v>
      </c>
      <c r="Q405" t="str">
        <f t="shared" si="37"/>
        <v>November</v>
      </c>
      <c r="R405" s="3">
        <f t="shared" si="38"/>
        <v>2024</v>
      </c>
      <c r="S405" s="3" t="str">
        <f t="shared" si="39"/>
        <v>Q4</v>
      </c>
      <c r="T405" s="3" t="str">
        <f t="shared" si="40"/>
        <v>Tablet</v>
      </c>
    </row>
    <row r="406" spans="1:20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41"/>
        <v>198.2</v>
      </c>
      <c r="P406" t="str">
        <f t="shared" si="36"/>
        <v>Correct</v>
      </c>
      <c r="Q406" t="str">
        <f t="shared" si="37"/>
        <v>March</v>
      </c>
      <c r="R406" s="3">
        <f t="shared" si="38"/>
        <v>2023</v>
      </c>
      <c r="S406" s="3" t="str">
        <f t="shared" si="39"/>
        <v>Q1</v>
      </c>
      <c r="T406" s="3" t="str">
        <f t="shared" si="40"/>
        <v>Monitor</v>
      </c>
    </row>
    <row r="407" spans="1:20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41"/>
        <v>1807.88</v>
      </c>
      <c r="P407" t="str">
        <f t="shared" si="36"/>
        <v>Correct</v>
      </c>
      <c r="Q407" t="str">
        <f t="shared" si="37"/>
        <v>January</v>
      </c>
      <c r="R407" s="3">
        <f t="shared" si="38"/>
        <v>2025</v>
      </c>
      <c r="S407" s="3" t="str">
        <f t="shared" si="39"/>
        <v>Q1</v>
      </c>
      <c r="T407" s="3" t="str">
        <f t="shared" si="40"/>
        <v>Monitor</v>
      </c>
    </row>
    <row r="408" spans="1:20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41"/>
        <v>264.39999999999998</v>
      </c>
      <c r="P408" t="str">
        <f t="shared" si="36"/>
        <v>Correct</v>
      </c>
      <c r="Q408" t="str">
        <f t="shared" si="37"/>
        <v>December</v>
      </c>
      <c r="R408" s="3">
        <f t="shared" si="38"/>
        <v>2023</v>
      </c>
      <c r="S408" s="3" t="str">
        <f t="shared" si="39"/>
        <v>Q4</v>
      </c>
      <c r="T408" s="3" t="str">
        <f t="shared" si="40"/>
        <v>Tablet</v>
      </c>
    </row>
    <row r="409" spans="1:20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41"/>
        <v>2189.2800000000002</v>
      </c>
      <c r="P409" t="str">
        <f t="shared" si="36"/>
        <v>Correct</v>
      </c>
      <c r="Q409" t="str">
        <f t="shared" si="37"/>
        <v>August</v>
      </c>
      <c r="R409" s="3">
        <f t="shared" si="38"/>
        <v>2023</v>
      </c>
      <c r="S409" s="3" t="str">
        <f t="shared" si="39"/>
        <v>Q3</v>
      </c>
      <c r="T409" s="3" t="str">
        <f t="shared" si="40"/>
        <v>Tablet</v>
      </c>
    </row>
    <row r="410" spans="1:20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41"/>
        <v>1237.5899999999999</v>
      </c>
      <c r="P410" t="str">
        <f t="shared" si="36"/>
        <v>Correct</v>
      </c>
      <c r="Q410" t="str">
        <f t="shared" si="37"/>
        <v>January</v>
      </c>
      <c r="R410" s="3">
        <f t="shared" si="38"/>
        <v>2025</v>
      </c>
      <c r="S410" s="3" t="str">
        <f t="shared" si="39"/>
        <v>Q1</v>
      </c>
      <c r="T410" s="3" t="str">
        <f t="shared" si="40"/>
        <v>Printer</v>
      </c>
    </row>
    <row r="411" spans="1:20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41"/>
        <v>420.65</v>
      </c>
      <c r="P411" t="str">
        <f t="shared" si="36"/>
        <v>Correct</v>
      </c>
      <c r="Q411" t="str">
        <f t="shared" si="37"/>
        <v>June</v>
      </c>
      <c r="R411" s="3">
        <f t="shared" si="38"/>
        <v>2023</v>
      </c>
      <c r="S411" s="3" t="str">
        <f t="shared" si="39"/>
        <v>Q2</v>
      </c>
      <c r="T411" s="3" t="str">
        <f t="shared" si="40"/>
        <v>Desk</v>
      </c>
    </row>
    <row r="412" spans="1:20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41"/>
        <v>1036.46</v>
      </c>
      <c r="P412" t="str">
        <f t="shared" si="36"/>
        <v>Correct</v>
      </c>
      <c r="Q412" t="str">
        <f t="shared" si="37"/>
        <v>January</v>
      </c>
      <c r="R412" s="3">
        <f t="shared" si="38"/>
        <v>2024</v>
      </c>
      <c r="S412" s="3" t="str">
        <f t="shared" si="39"/>
        <v>Q1</v>
      </c>
      <c r="T412" s="3" t="str">
        <f t="shared" si="40"/>
        <v>Tablet</v>
      </c>
    </row>
    <row r="413" spans="1:20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41"/>
        <v>79.02</v>
      </c>
      <c r="P413" t="str">
        <f t="shared" si="36"/>
        <v>Correct</v>
      </c>
      <c r="Q413" t="str">
        <f t="shared" si="37"/>
        <v>June</v>
      </c>
      <c r="R413" s="3">
        <f t="shared" si="38"/>
        <v>2024</v>
      </c>
      <c r="S413" s="3" t="str">
        <f t="shared" si="39"/>
        <v>Q2</v>
      </c>
      <c r="T413" s="3" t="str">
        <f t="shared" si="40"/>
        <v>Desk</v>
      </c>
    </row>
    <row r="414" spans="1:20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41"/>
        <v>665.05</v>
      </c>
      <c r="P414" t="str">
        <f t="shared" si="36"/>
        <v>Correct</v>
      </c>
      <c r="Q414" t="str">
        <f t="shared" si="37"/>
        <v>April</v>
      </c>
      <c r="R414" s="3">
        <f t="shared" si="38"/>
        <v>2025</v>
      </c>
      <c r="S414" s="3" t="str">
        <f t="shared" si="39"/>
        <v>Q2</v>
      </c>
      <c r="T414" s="3" t="str">
        <f t="shared" si="40"/>
        <v>Tablet</v>
      </c>
    </row>
    <row r="415" spans="1:20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41"/>
        <v>118.8</v>
      </c>
      <c r="P415" t="str">
        <f t="shared" si="36"/>
        <v>Correct</v>
      </c>
      <c r="Q415" t="str">
        <f t="shared" si="37"/>
        <v>October</v>
      </c>
      <c r="R415" s="3">
        <f t="shared" si="38"/>
        <v>2023</v>
      </c>
      <c r="S415" s="3" t="str">
        <f t="shared" si="39"/>
        <v>Q4</v>
      </c>
      <c r="T415" s="3" t="str">
        <f t="shared" si="40"/>
        <v>Tablet</v>
      </c>
    </row>
    <row r="416" spans="1:20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41"/>
        <v>279.14</v>
      </c>
      <c r="P416" t="str">
        <f t="shared" si="36"/>
        <v>Correct</v>
      </c>
      <c r="Q416" t="str">
        <f t="shared" si="37"/>
        <v>May</v>
      </c>
      <c r="R416" s="3">
        <f t="shared" si="38"/>
        <v>2025</v>
      </c>
      <c r="S416" s="3" t="str">
        <f t="shared" si="39"/>
        <v>Q2</v>
      </c>
      <c r="T416" s="3" t="str">
        <f t="shared" si="40"/>
        <v>Desk</v>
      </c>
    </row>
    <row r="417" spans="1:20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41"/>
        <v>184.15</v>
      </c>
      <c r="P417" t="str">
        <f t="shared" si="36"/>
        <v>Correct</v>
      </c>
      <c r="Q417" t="str">
        <f t="shared" si="37"/>
        <v>April</v>
      </c>
      <c r="R417" s="3">
        <f t="shared" si="38"/>
        <v>2025</v>
      </c>
      <c r="S417" s="3" t="str">
        <f t="shared" si="39"/>
        <v>Q2</v>
      </c>
      <c r="T417" s="3" t="str">
        <f t="shared" si="40"/>
        <v>Chair</v>
      </c>
    </row>
    <row r="418" spans="1:20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41"/>
        <v>1288.0999999999999</v>
      </c>
      <c r="P418" t="str">
        <f t="shared" si="36"/>
        <v>Correct</v>
      </c>
      <c r="Q418" t="str">
        <f t="shared" si="37"/>
        <v>July</v>
      </c>
      <c r="R418" s="3">
        <f t="shared" si="38"/>
        <v>2023</v>
      </c>
      <c r="S418" s="3" t="str">
        <f t="shared" si="39"/>
        <v>Q3</v>
      </c>
      <c r="T418" s="3" t="str">
        <f t="shared" si="40"/>
        <v>Laptop</v>
      </c>
    </row>
    <row r="419" spans="1:20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41"/>
        <v>277.04999999999995</v>
      </c>
      <c r="P419" t="str">
        <f t="shared" si="36"/>
        <v>Correct</v>
      </c>
      <c r="Q419" t="str">
        <f t="shared" si="37"/>
        <v>October</v>
      </c>
      <c r="R419" s="3">
        <f t="shared" si="38"/>
        <v>2023</v>
      </c>
      <c r="S419" s="3" t="str">
        <f t="shared" si="39"/>
        <v>Q4</v>
      </c>
      <c r="T419" s="3" t="str">
        <f t="shared" si="40"/>
        <v>Laptop</v>
      </c>
    </row>
    <row r="420" spans="1:20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41"/>
        <v>310.93</v>
      </c>
      <c r="P420" t="str">
        <f t="shared" si="36"/>
        <v>Correct</v>
      </c>
      <c r="Q420" t="str">
        <f t="shared" si="37"/>
        <v>January</v>
      </c>
      <c r="R420" s="3">
        <f t="shared" si="38"/>
        <v>2023</v>
      </c>
      <c r="S420" s="3" t="str">
        <f t="shared" si="39"/>
        <v>Q1</v>
      </c>
      <c r="T420" s="3" t="str">
        <f t="shared" si="40"/>
        <v>Printer</v>
      </c>
    </row>
    <row r="421" spans="1:20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41"/>
        <v>433.32</v>
      </c>
      <c r="P421" t="str">
        <f t="shared" si="36"/>
        <v>Correct</v>
      </c>
      <c r="Q421" t="str">
        <f t="shared" si="37"/>
        <v>April</v>
      </c>
      <c r="R421" s="3">
        <f t="shared" si="38"/>
        <v>2024</v>
      </c>
      <c r="S421" s="3" t="str">
        <f t="shared" si="39"/>
        <v>Q2</v>
      </c>
      <c r="T421" s="3" t="str">
        <f t="shared" si="40"/>
        <v>Tablet</v>
      </c>
    </row>
    <row r="422" spans="1:20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41"/>
        <v>452.7</v>
      </c>
      <c r="P422" t="str">
        <f t="shared" si="36"/>
        <v>Correct</v>
      </c>
      <c r="Q422" t="str">
        <f t="shared" si="37"/>
        <v>November</v>
      </c>
      <c r="R422" s="3">
        <f t="shared" si="38"/>
        <v>2024</v>
      </c>
      <c r="S422" s="3" t="str">
        <f t="shared" si="39"/>
        <v>Q4</v>
      </c>
      <c r="T422" s="3" t="str">
        <f t="shared" si="40"/>
        <v>Phone</v>
      </c>
    </row>
    <row r="423" spans="1:20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41"/>
        <v>576.41999999999996</v>
      </c>
      <c r="P423" t="str">
        <f t="shared" si="36"/>
        <v>Correct</v>
      </c>
      <c r="Q423" t="str">
        <f t="shared" si="37"/>
        <v>October</v>
      </c>
      <c r="R423" s="3">
        <f t="shared" si="38"/>
        <v>2023</v>
      </c>
      <c r="S423" s="3" t="str">
        <f t="shared" si="39"/>
        <v>Q4</v>
      </c>
      <c r="T423" s="3" t="str">
        <f t="shared" si="40"/>
        <v>Chair</v>
      </c>
    </row>
    <row r="424" spans="1:20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41"/>
        <v>826.4</v>
      </c>
      <c r="P424" t="str">
        <f t="shared" si="36"/>
        <v>Correct</v>
      </c>
      <c r="Q424" t="str">
        <f t="shared" si="37"/>
        <v>June</v>
      </c>
      <c r="R424" s="3">
        <f t="shared" si="38"/>
        <v>2023</v>
      </c>
      <c r="S424" s="3" t="str">
        <f t="shared" si="39"/>
        <v>Q2</v>
      </c>
      <c r="T424" s="3" t="str">
        <f t="shared" si="40"/>
        <v>Phone</v>
      </c>
    </row>
    <row r="425" spans="1:20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41"/>
        <v>2740.8</v>
      </c>
      <c r="P425" t="str">
        <f t="shared" si="36"/>
        <v>Correct</v>
      </c>
      <c r="Q425" t="str">
        <f t="shared" si="37"/>
        <v>July</v>
      </c>
      <c r="R425" s="3">
        <f t="shared" si="38"/>
        <v>2024</v>
      </c>
      <c r="S425" s="3" t="str">
        <f t="shared" si="39"/>
        <v>Q3</v>
      </c>
      <c r="T425" s="3" t="str">
        <f t="shared" si="40"/>
        <v>Printer</v>
      </c>
    </row>
    <row r="426" spans="1:20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41"/>
        <v>114.7</v>
      </c>
      <c r="P426" t="str">
        <f t="shared" si="36"/>
        <v>Correct</v>
      </c>
      <c r="Q426" t="str">
        <f t="shared" si="37"/>
        <v>April</v>
      </c>
      <c r="R426" s="3">
        <f t="shared" si="38"/>
        <v>2023</v>
      </c>
      <c r="S426" s="3" t="str">
        <f t="shared" si="39"/>
        <v>Q2</v>
      </c>
      <c r="T426" s="3" t="str">
        <f t="shared" si="40"/>
        <v>Chair</v>
      </c>
    </row>
    <row r="427" spans="1:20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41"/>
        <v>603.76</v>
      </c>
      <c r="P427" t="str">
        <f t="shared" si="36"/>
        <v>Correct</v>
      </c>
      <c r="Q427" t="str">
        <f t="shared" si="37"/>
        <v>March</v>
      </c>
      <c r="R427" s="3">
        <f t="shared" si="38"/>
        <v>2023</v>
      </c>
      <c r="S427" s="3" t="str">
        <f t="shared" si="39"/>
        <v>Q1</v>
      </c>
      <c r="T427" s="3" t="str">
        <f t="shared" si="40"/>
        <v>Laptop</v>
      </c>
    </row>
    <row r="428" spans="1:20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41"/>
        <v>287.25</v>
      </c>
      <c r="P428" t="str">
        <f t="shared" si="36"/>
        <v>Correct</v>
      </c>
      <c r="Q428" t="str">
        <f t="shared" si="37"/>
        <v>March</v>
      </c>
      <c r="R428" s="3">
        <f t="shared" si="38"/>
        <v>2025</v>
      </c>
      <c r="S428" s="3" t="str">
        <f t="shared" si="39"/>
        <v>Q1</v>
      </c>
      <c r="T428" s="3" t="str">
        <f t="shared" si="40"/>
        <v>Monitor</v>
      </c>
    </row>
    <row r="429" spans="1:20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41"/>
        <v>161.24</v>
      </c>
      <c r="P429" t="str">
        <f t="shared" si="36"/>
        <v>Correct</v>
      </c>
      <c r="Q429" t="str">
        <f t="shared" si="37"/>
        <v>December</v>
      </c>
      <c r="R429" s="3">
        <f t="shared" si="38"/>
        <v>2024</v>
      </c>
      <c r="S429" s="3" t="str">
        <f t="shared" si="39"/>
        <v>Q4</v>
      </c>
      <c r="T429" s="3" t="str">
        <f t="shared" si="40"/>
        <v>Desk</v>
      </c>
    </row>
    <row r="430" spans="1:20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41"/>
        <v>1050.32</v>
      </c>
      <c r="P430" t="str">
        <f t="shared" si="36"/>
        <v>Correct</v>
      </c>
      <c r="Q430" t="str">
        <f t="shared" si="37"/>
        <v>November</v>
      </c>
      <c r="R430" s="3">
        <f t="shared" si="38"/>
        <v>2024</v>
      </c>
      <c r="S430" s="3" t="str">
        <f t="shared" si="39"/>
        <v>Q4</v>
      </c>
      <c r="T430" s="3" t="str">
        <f t="shared" si="40"/>
        <v>Chair</v>
      </c>
    </row>
    <row r="431" spans="1:20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41"/>
        <v>2060.7600000000002</v>
      </c>
      <c r="P431" t="str">
        <f t="shared" si="36"/>
        <v>Correct</v>
      </c>
      <c r="Q431" t="str">
        <f t="shared" si="37"/>
        <v>December</v>
      </c>
      <c r="R431" s="3">
        <f t="shared" si="38"/>
        <v>2024</v>
      </c>
      <c r="S431" s="3" t="str">
        <f t="shared" si="39"/>
        <v>Q4</v>
      </c>
      <c r="T431" s="3" t="str">
        <f t="shared" si="40"/>
        <v>Printer</v>
      </c>
    </row>
    <row r="432" spans="1:20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41"/>
        <v>450.07</v>
      </c>
      <c r="P432" t="str">
        <f t="shared" si="36"/>
        <v>Correct</v>
      </c>
      <c r="Q432" t="str">
        <f t="shared" si="37"/>
        <v>June</v>
      </c>
      <c r="R432" s="3">
        <f t="shared" si="38"/>
        <v>2023</v>
      </c>
      <c r="S432" s="3" t="str">
        <f t="shared" si="39"/>
        <v>Q2</v>
      </c>
      <c r="T432" s="3" t="str">
        <f t="shared" si="40"/>
        <v>Phone</v>
      </c>
    </row>
    <row r="433" spans="1:20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41"/>
        <v>52.54</v>
      </c>
      <c r="P433" t="str">
        <f t="shared" si="36"/>
        <v>Correct</v>
      </c>
      <c r="Q433" t="str">
        <f t="shared" si="37"/>
        <v>October</v>
      </c>
      <c r="R433" s="3">
        <f t="shared" si="38"/>
        <v>2024</v>
      </c>
      <c r="S433" s="3" t="str">
        <f t="shared" si="39"/>
        <v>Q4</v>
      </c>
      <c r="T433" s="3" t="str">
        <f t="shared" si="40"/>
        <v>Printer</v>
      </c>
    </row>
    <row r="434" spans="1:20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41"/>
        <v>848.64</v>
      </c>
      <c r="P434" t="str">
        <f t="shared" si="36"/>
        <v>Correct</v>
      </c>
      <c r="Q434" t="str">
        <f t="shared" si="37"/>
        <v>September</v>
      </c>
      <c r="R434" s="3">
        <f t="shared" si="38"/>
        <v>2023</v>
      </c>
      <c r="S434" s="3" t="str">
        <f t="shared" si="39"/>
        <v>Q3</v>
      </c>
      <c r="T434" s="3" t="str">
        <f t="shared" si="40"/>
        <v>Tablet</v>
      </c>
    </row>
    <row r="435" spans="1:20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41"/>
        <v>1894.92</v>
      </c>
      <c r="P435" t="str">
        <f t="shared" si="36"/>
        <v>Correct</v>
      </c>
      <c r="Q435" t="str">
        <f t="shared" si="37"/>
        <v>August</v>
      </c>
      <c r="R435" s="3">
        <f t="shared" si="38"/>
        <v>2023</v>
      </c>
      <c r="S435" s="3" t="str">
        <f t="shared" si="39"/>
        <v>Q3</v>
      </c>
      <c r="T435" s="3" t="str">
        <f t="shared" si="40"/>
        <v>Monitor</v>
      </c>
    </row>
    <row r="436" spans="1:20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41"/>
        <v>1638.4</v>
      </c>
      <c r="P436" t="str">
        <f t="shared" si="36"/>
        <v>Correct</v>
      </c>
      <c r="Q436" t="str">
        <f t="shared" si="37"/>
        <v>October</v>
      </c>
      <c r="R436" s="3">
        <f t="shared" si="38"/>
        <v>2023</v>
      </c>
      <c r="S436" s="3" t="str">
        <f t="shared" si="39"/>
        <v>Q4</v>
      </c>
      <c r="T436" s="3" t="str">
        <f t="shared" si="40"/>
        <v>Printer</v>
      </c>
    </row>
    <row r="437" spans="1:20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41"/>
        <v>414.47</v>
      </c>
      <c r="P437" t="str">
        <f t="shared" si="36"/>
        <v>Correct</v>
      </c>
      <c r="Q437" t="str">
        <f t="shared" si="37"/>
        <v>May</v>
      </c>
      <c r="R437" s="3">
        <f t="shared" si="38"/>
        <v>2023</v>
      </c>
      <c r="S437" s="3" t="str">
        <f t="shared" si="39"/>
        <v>Q2</v>
      </c>
      <c r="T437" s="3" t="str">
        <f t="shared" si="40"/>
        <v>Printer</v>
      </c>
    </row>
    <row r="438" spans="1:20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41"/>
        <v>885.32</v>
      </c>
      <c r="P438" t="str">
        <f t="shared" si="36"/>
        <v>Correct</v>
      </c>
      <c r="Q438" t="str">
        <f t="shared" si="37"/>
        <v>February</v>
      </c>
      <c r="R438" s="3">
        <f t="shared" si="38"/>
        <v>2023</v>
      </c>
      <c r="S438" s="3" t="str">
        <f t="shared" si="39"/>
        <v>Q1</v>
      </c>
      <c r="T438" s="3" t="str">
        <f t="shared" si="40"/>
        <v>Laptop</v>
      </c>
    </row>
    <row r="439" spans="1:20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41"/>
        <v>512.39</v>
      </c>
      <c r="P439" t="str">
        <f t="shared" si="36"/>
        <v>Correct</v>
      </c>
      <c r="Q439" t="str">
        <f t="shared" si="37"/>
        <v>April</v>
      </c>
      <c r="R439" s="3">
        <f t="shared" si="38"/>
        <v>2024</v>
      </c>
      <c r="S439" s="3" t="str">
        <f t="shared" si="39"/>
        <v>Q2</v>
      </c>
      <c r="T439" s="3" t="str">
        <f t="shared" si="40"/>
        <v>Phone</v>
      </c>
    </row>
    <row r="440" spans="1:20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41"/>
        <v>1378.02</v>
      </c>
      <c r="P440" t="str">
        <f t="shared" si="36"/>
        <v>Correct</v>
      </c>
      <c r="Q440" t="str">
        <f t="shared" si="37"/>
        <v>January</v>
      </c>
      <c r="R440" s="3">
        <f t="shared" si="38"/>
        <v>2025</v>
      </c>
      <c r="S440" s="3" t="str">
        <f t="shared" si="39"/>
        <v>Q1</v>
      </c>
      <c r="T440" s="3" t="str">
        <f t="shared" si="40"/>
        <v>Tablet</v>
      </c>
    </row>
    <row r="441" spans="1:20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41"/>
        <v>146.32</v>
      </c>
      <c r="P441" t="str">
        <f t="shared" si="36"/>
        <v>Correct</v>
      </c>
      <c r="Q441" t="str">
        <f t="shared" si="37"/>
        <v>September</v>
      </c>
      <c r="R441" s="3">
        <f t="shared" si="38"/>
        <v>2024</v>
      </c>
      <c r="S441" s="3" t="str">
        <f t="shared" si="39"/>
        <v>Q3</v>
      </c>
      <c r="T441" s="3" t="str">
        <f t="shared" si="40"/>
        <v>Tablet</v>
      </c>
    </row>
    <row r="442" spans="1:20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41"/>
        <v>334.4</v>
      </c>
      <c r="P442" t="str">
        <f t="shared" si="36"/>
        <v>Correct</v>
      </c>
      <c r="Q442" t="str">
        <f t="shared" si="37"/>
        <v>November</v>
      </c>
      <c r="R442" s="3">
        <f t="shared" si="38"/>
        <v>2024</v>
      </c>
      <c r="S442" s="3" t="str">
        <f t="shared" si="39"/>
        <v>Q4</v>
      </c>
      <c r="T442" s="3" t="str">
        <f t="shared" si="40"/>
        <v>Desk</v>
      </c>
    </row>
    <row r="443" spans="1:20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41"/>
        <v>657.08</v>
      </c>
      <c r="P443" t="str">
        <f t="shared" si="36"/>
        <v>Correct</v>
      </c>
      <c r="Q443" t="str">
        <f t="shared" si="37"/>
        <v>December</v>
      </c>
      <c r="R443" s="3">
        <f t="shared" si="38"/>
        <v>2023</v>
      </c>
      <c r="S443" s="3" t="str">
        <f t="shared" si="39"/>
        <v>Q4</v>
      </c>
      <c r="T443" s="3" t="str">
        <f t="shared" si="40"/>
        <v>Printer</v>
      </c>
    </row>
    <row r="444" spans="1:20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41"/>
        <v>1574.7</v>
      </c>
      <c r="P444" t="str">
        <f t="shared" si="36"/>
        <v>Correct</v>
      </c>
      <c r="Q444" t="str">
        <f t="shared" si="37"/>
        <v>May</v>
      </c>
      <c r="R444" s="3">
        <f t="shared" si="38"/>
        <v>2024</v>
      </c>
      <c r="S444" s="3" t="str">
        <f t="shared" si="39"/>
        <v>Q2</v>
      </c>
      <c r="T444" s="3" t="str">
        <f t="shared" si="40"/>
        <v>Chair</v>
      </c>
    </row>
    <row r="445" spans="1:20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41"/>
        <v>139.28</v>
      </c>
      <c r="P445" t="str">
        <f t="shared" si="36"/>
        <v>Correct</v>
      </c>
      <c r="Q445" t="str">
        <f t="shared" si="37"/>
        <v>May</v>
      </c>
      <c r="R445" s="3">
        <f t="shared" si="38"/>
        <v>2024</v>
      </c>
      <c r="S445" s="3" t="str">
        <f t="shared" si="39"/>
        <v>Q2</v>
      </c>
      <c r="T445" s="3" t="str">
        <f t="shared" si="40"/>
        <v>Chair</v>
      </c>
    </row>
    <row r="446" spans="1:20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41"/>
        <v>135.16999999999999</v>
      </c>
      <c r="P446" t="str">
        <f t="shared" si="36"/>
        <v>Correct</v>
      </c>
      <c r="Q446" t="str">
        <f t="shared" si="37"/>
        <v>June</v>
      </c>
      <c r="R446" s="3">
        <f t="shared" si="38"/>
        <v>2024</v>
      </c>
      <c r="S446" s="3" t="str">
        <f t="shared" si="39"/>
        <v>Q2</v>
      </c>
      <c r="T446" s="3" t="str">
        <f t="shared" si="40"/>
        <v>Printer</v>
      </c>
    </row>
    <row r="447" spans="1:20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41"/>
        <v>487.21</v>
      </c>
      <c r="P447" t="str">
        <f t="shared" si="36"/>
        <v>Correct</v>
      </c>
      <c r="Q447" t="str">
        <f t="shared" si="37"/>
        <v>March</v>
      </c>
      <c r="R447" s="3">
        <f t="shared" si="38"/>
        <v>2024</v>
      </c>
      <c r="S447" s="3" t="str">
        <f t="shared" si="39"/>
        <v>Q1</v>
      </c>
      <c r="T447" s="3" t="str">
        <f t="shared" si="40"/>
        <v>Phone</v>
      </c>
    </row>
    <row r="448" spans="1:20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41"/>
        <v>2547.9</v>
      </c>
      <c r="P448" t="str">
        <f t="shared" si="36"/>
        <v>Correct</v>
      </c>
      <c r="Q448" t="str">
        <f t="shared" si="37"/>
        <v>October</v>
      </c>
      <c r="R448" s="3">
        <f t="shared" si="38"/>
        <v>2023</v>
      </c>
      <c r="S448" s="3" t="str">
        <f t="shared" si="39"/>
        <v>Q4</v>
      </c>
      <c r="T448" s="3" t="str">
        <f t="shared" si="40"/>
        <v>Laptop</v>
      </c>
    </row>
    <row r="449" spans="1:20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41"/>
        <v>833.62</v>
      </c>
      <c r="P449" t="str">
        <f t="shared" si="36"/>
        <v>Correct</v>
      </c>
      <c r="Q449" t="str">
        <f t="shared" si="37"/>
        <v>April</v>
      </c>
      <c r="R449" s="3">
        <f t="shared" si="38"/>
        <v>2024</v>
      </c>
      <c r="S449" s="3" t="str">
        <f t="shared" si="39"/>
        <v>Q2</v>
      </c>
      <c r="T449" s="3" t="str">
        <f t="shared" si="40"/>
        <v>Printer</v>
      </c>
    </row>
    <row r="450" spans="1:20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4283</v>
      </c>
      <c r="M450" t="s">
        <v>4278</v>
      </c>
      <c r="N450">
        <v>320</v>
      </c>
      <c r="O450">
        <f t="shared" si="41"/>
        <v>320</v>
      </c>
      <c r="P450" t="str">
        <f t="shared" ref="P450:P513" si="42">IF(O450=N450,"Correct","Error")</f>
        <v>Correct</v>
      </c>
      <c r="Q450" t="str">
        <f t="shared" ref="Q450:Q513" si="43">TEXT(B450,"MMMM")</f>
        <v>September</v>
      </c>
      <c r="R450" s="3">
        <f t="shared" ref="R450:R513" si="44">YEAR(B450)</f>
        <v>2023</v>
      </c>
      <c r="S450" s="3" t="str">
        <f t="shared" ref="S450:S513" si="45">"Q"&amp;ROUNDUP(MONTH(B450)/3,0)</f>
        <v>Q3</v>
      </c>
      <c r="T450" s="3" t="str">
        <f t="shared" ref="T450:T513" si="46">TRIM(D450)</f>
        <v>Laptop</v>
      </c>
    </row>
    <row r="451" spans="1:20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47">E451*F451</f>
        <v>759.15000000000009</v>
      </c>
      <c r="P451" t="str">
        <f t="shared" si="42"/>
        <v>Correct</v>
      </c>
      <c r="Q451" t="str">
        <f t="shared" si="43"/>
        <v>August</v>
      </c>
      <c r="R451" s="3">
        <f t="shared" si="44"/>
        <v>2024</v>
      </c>
      <c r="S451" s="3" t="str">
        <f t="shared" si="45"/>
        <v>Q3</v>
      </c>
      <c r="T451" s="3" t="str">
        <f t="shared" si="46"/>
        <v>Tablet</v>
      </c>
    </row>
    <row r="452" spans="1:20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47"/>
        <v>3075.5</v>
      </c>
      <c r="P452" t="str">
        <f t="shared" si="42"/>
        <v>Correct</v>
      </c>
      <c r="Q452" t="str">
        <f t="shared" si="43"/>
        <v>January</v>
      </c>
      <c r="R452" s="3">
        <f t="shared" si="44"/>
        <v>2024</v>
      </c>
      <c r="S452" s="3" t="str">
        <f t="shared" si="45"/>
        <v>Q1</v>
      </c>
      <c r="T452" s="3" t="str">
        <f t="shared" si="46"/>
        <v>Monitor</v>
      </c>
    </row>
    <row r="453" spans="1:20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47"/>
        <v>183.18</v>
      </c>
      <c r="P453" t="str">
        <f t="shared" si="42"/>
        <v>Correct</v>
      </c>
      <c r="Q453" t="str">
        <f t="shared" si="43"/>
        <v>April</v>
      </c>
      <c r="R453" s="3">
        <f t="shared" si="44"/>
        <v>2023</v>
      </c>
      <c r="S453" s="3" t="str">
        <f t="shared" si="45"/>
        <v>Q2</v>
      </c>
      <c r="T453" s="3" t="str">
        <f t="shared" si="46"/>
        <v>Monitor</v>
      </c>
    </row>
    <row r="454" spans="1:20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47"/>
        <v>75.78</v>
      </c>
      <c r="P454" t="str">
        <f t="shared" si="42"/>
        <v>Correct</v>
      </c>
      <c r="Q454" t="str">
        <f t="shared" si="43"/>
        <v>July</v>
      </c>
      <c r="R454" s="3">
        <f t="shared" si="44"/>
        <v>2023</v>
      </c>
      <c r="S454" s="3" t="str">
        <f t="shared" si="45"/>
        <v>Q3</v>
      </c>
      <c r="T454" s="3" t="str">
        <f t="shared" si="46"/>
        <v>Printer</v>
      </c>
    </row>
    <row r="455" spans="1:20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47"/>
        <v>675.57</v>
      </c>
      <c r="P455" t="str">
        <f t="shared" si="42"/>
        <v>Correct</v>
      </c>
      <c r="Q455" t="str">
        <f t="shared" si="43"/>
        <v>May</v>
      </c>
      <c r="R455" s="3">
        <f t="shared" si="44"/>
        <v>2025</v>
      </c>
      <c r="S455" s="3" t="str">
        <f t="shared" si="45"/>
        <v>Q2</v>
      </c>
      <c r="T455" s="3" t="str">
        <f t="shared" si="46"/>
        <v>Tablet</v>
      </c>
    </row>
    <row r="456" spans="1:20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47"/>
        <v>109.29</v>
      </c>
      <c r="P456" t="str">
        <f t="shared" si="42"/>
        <v>Correct</v>
      </c>
      <c r="Q456" t="str">
        <f t="shared" si="43"/>
        <v>November</v>
      </c>
      <c r="R456" s="3">
        <f t="shared" si="44"/>
        <v>2024</v>
      </c>
      <c r="S456" s="3" t="str">
        <f t="shared" si="45"/>
        <v>Q4</v>
      </c>
      <c r="T456" s="3" t="str">
        <f t="shared" si="46"/>
        <v>Laptop</v>
      </c>
    </row>
    <row r="457" spans="1:20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47"/>
        <v>639.83000000000004</v>
      </c>
      <c r="P457" t="str">
        <f t="shared" si="42"/>
        <v>Correct</v>
      </c>
      <c r="Q457" t="str">
        <f t="shared" si="43"/>
        <v>March</v>
      </c>
      <c r="R457" s="3">
        <f t="shared" si="44"/>
        <v>2024</v>
      </c>
      <c r="S457" s="3" t="str">
        <f t="shared" si="45"/>
        <v>Q1</v>
      </c>
      <c r="T457" s="3" t="str">
        <f t="shared" si="46"/>
        <v>Phone</v>
      </c>
    </row>
    <row r="458" spans="1:20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47"/>
        <v>314.05</v>
      </c>
      <c r="P458" t="str">
        <f t="shared" si="42"/>
        <v>Correct</v>
      </c>
      <c r="Q458" t="str">
        <f t="shared" si="43"/>
        <v>June</v>
      </c>
      <c r="R458" s="3">
        <f t="shared" si="44"/>
        <v>2023</v>
      </c>
      <c r="S458" s="3" t="str">
        <f t="shared" si="45"/>
        <v>Q2</v>
      </c>
      <c r="T458" s="3" t="str">
        <f t="shared" si="46"/>
        <v>Desk</v>
      </c>
    </row>
    <row r="459" spans="1:20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47"/>
        <v>2463.3200000000002</v>
      </c>
      <c r="P459" t="str">
        <f t="shared" si="42"/>
        <v>Correct</v>
      </c>
      <c r="Q459" t="str">
        <f t="shared" si="43"/>
        <v>May</v>
      </c>
      <c r="R459" s="3">
        <f t="shared" si="44"/>
        <v>2025</v>
      </c>
      <c r="S459" s="3" t="str">
        <f t="shared" si="45"/>
        <v>Q2</v>
      </c>
      <c r="T459" s="3" t="str">
        <f t="shared" si="46"/>
        <v>Desk</v>
      </c>
    </row>
    <row r="460" spans="1:20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47"/>
        <v>2042.32</v>
      </c>
      <c r="P460" t="str">
        <f t="shared" si="42"/>
        <v>Correct</v>
      </c>
      <c r="Q460" t="str">
        <f t="shared" si="43"/>
        <v>July</v>
      </c>
      <c r="R460" s="3">
        <f t="shared" si="44"/>
        <v>2024</v>
      </c>
      <c r="S460" s="3" t="str">
        <f t="shared" si="45"/>
        <v>Q3</v>
      </c>
      <c r="T460" s="3" t="str">
        <f t="shared" si="46"/>
        <v>Monitor</v>
      </c>
    </row>
    <row r="461" spans="1:20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47"/>
        <v>334.39</v>
      </c>
      <c r="P461" t="str">
        <f t="shared" si="42"/>
        <v>Correct</v>
      </c>
      <c r="Q461" t="str">
        <f t="shared" si="43"/>
        <v>July</v>
      </c>
      <c r="R461" s="3">
        <f t="shared" si="44"/>
        <v>2024</v>
      </c>
      <c r="S461" s="3" t="str">
        <f t="shared" si="45"/>
        <v>Q3</v>
      </c>
      <c r="T461" s="3" t="str">
        <f t="shared" si="46"/>
        <v>Desk</v>
      </c>
    </row>
    <row r="462" spans="1:20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47"/>
        <v>144.25</v>
      </c>
      <c r="P462" t="str">
        <f t="shared" si="42"/>
        <v>Correct</v>
      </c>
      <c r="Q462" t="str">
        <f t="shared" si="43"/>
        <v>October</v>
      </c>
      <c r="R462" s="3">
        <f t="shared" si="44"/>
        <v>2024</v>
      </c>
      <c r="S462" s="3" t="str">
        <f t="shared" si="45"/>
        <v>Q4</v>
      </c>
      <c r="T462" s="3" t="str">
        <f t="shared" si="46"/>
        <v>Laptop</v>
      </c>
    </row>
    <row r="463" spans="1:20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47"/>
        <v>401.82</v>
      </c>
      <c r="P463" t="str">
        <f t="shared" si="42"/>
        <v>Correct</v>
      </c>
      <c r="Q463" t="str">
        <f t="shared" si="43"/>
        <v>June</v>
      </c>
      <c r="R463" s="3">
        <f t="shared" si="44"/>
        <v>2024</v>
      </c>
      <c r="S463" s="3" t="str">
        <f t="shared" si="45"/>
        <v>Q2</v>
      </c>
      <c r="T463" s="3" t="str">
        <f t="shared" si="46"/>
        <v>Tablet</v>
      </c>
    </row>
    <row r="464" spans="1:20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47"/>
        <v>252.68</v>
      </c>
      <c r="P464" t="str">
        <f t="shared" si="42"/>
        <v>Correct</v>
      </c>
      <c r="Q464" t="str">
        <f t="shared" si="43"/>
        <v>March</v>
      </c>
      <c r="R464" s="3">
        <f t="shared" si="44"/>
        <v>2025</v>
      </c>
      <c r="S464" s="3" t="str">
        <f t="shared" si="45"/>
        <v>Q1</v>
      </c>
      <c r="T464" s="3" t="str">
        <f t="shared" si="46"/>
        <v>Phone</v>
      </c>
    </row>
    <row r="465" spans="1:20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47"/>
        <v>3313.8999999999996</v>
      </c>
      <c r="P465" t="str">
        <f t="shared" si="42"/>
        <v>Correct</v>
      </c>
      <c r="Q465" t="str">
        <f t="shared" si="43"/>
        <v>May</v>
      </c>
      <c r="R465" s="3">
        <f t="shared" si="44"/>
        <v>2023</v>
      </c>
      <c r="S465" s="3" t="str">
        <f t="shared" si="45"/>
        <v>Q2</v>
      </c>
      <c r="T465" s="3" t="str">
        <f t="shared" si="46"/>
        <v>Laptop</v>
      </c>
    </row>
    <row r="466" spans="1:20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47"/>
        <v>1737.68</v>
      </c>
      <c r="P466" t="str">
        <f t="shared" si="42"/>
        <v>Correct</v>
      </c>
      <c r="Q466" t="str">
        <f t="shared" si="43"/>
        <v>March</v>
      </c>
      <c r="R466" s="3">
        <f t="shared" si="44"/>
        <v>2023</v>
      </c>
      <c r="S466" s="3" t="str">
        <f t="shared" si="45"/>
        <v>Q1</v>
      </c>
      <c r="T466" s="3" t="str">
        <f t="shared" si="46"/>
        <v>Tablet</v>
      </c>
    </row>
    <row r="467" spans="1:20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47"/>
        <v>2567.4499999999998</v>
      </c>
      <c r="P467" t="str">
        <f t="shared" si="42"/>
        <v>Correct</v>
      </c>
      <c r="Q467" t="str">
        <f t="shared" si="43"/>
        <v>February</v>
      </c>
      <c r="R467" s="3">
        <f t="shared" si="44"/>
        <v>2024</v>
      </c>
      <c r="S467" s="3" t="str">
        <f t="shared" si="45"/>
        <v>Q1</v>
      </c>
      <c r="T467" s="3" t="str">
        <f t="shared" si="46"/>
        <v>Printer</v>
      </c>
    </row>
    <row r="468" spans="1:20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47"/>
        <v>432.47</v>
      </c>
      <c r="P468" t="str">
        <f t="shared" si="42"/>
        <v>Correct</v>
      </c>
      <c r="Q468" t="str">
        <f t="shared" si="43"/>
        <v>July</v>
      </c>
      <c r="R468" s="3">
        <f t="shared" si="44"/>
        <v>2023</v>
      </c>
      <c r="S468" s="3" t="str">
        <f t="shared" si="45"/>
        <v>Q3</v>
      </c>
      <c r="T468" s="3" t="str">
        <f t="shared" si="46"/>
        <v>Phone</v>
      </c>
    </row>
    <row r="469" spans="1:20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47"/>
        <v>45.94</v>
      </c>
      <c r="P469" t="str">
        <f t="shared" si="42"/>
        <v>Correct</v>
      </c>
      <c r="Q469" t="str">
        <f t="shared" si="43"/>
        <v>August</v>
      </c>
      <c r="R469" s="3">
        <f t="shared" si="44"/>
        <v>2024</v>
      </c>
      <c r="S469" s="3" t="str">
        <f t="shared" si="45"/>
        <v>Q3</v>
      </c>
      <c r="T469" s="3" t="str">
        <f t="shared" si="46"/>
        <v>Desk</v>
      </c>
    </row>
    <row r="470" spans="1:20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47"/>
        <v>418.36</v>
      </c>
      <c r="P470" t="str">
        <f t="shared" si="42"/>
        <v>Correct</v>
      </c>
      <c r="Q470" t="str">
        <f t="shared" si="43"/>
        <v>June</v>
      </c>
      <c r="R470" s="3">
        <f t="shared" si="44"/>
        <v>2025</v>
      </c>
      <c r="S470" s="3" t="str">
        <f t="shared" si="45"/>
        <v>Q2</v>
      </c>
      <c r="T470" s="3" t="str">
        <f t="shared" si="46"/>
        <v>Phone</v>
      </c>
    </row>
    <row r="471" spans="1:20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47"/>
        <v>3384.9</v>
      </c>
      <c r="P471" t="str">
        <f t="shared" si="42"/>
        <v>Correct</v>
      </c>
      <c r="Q471" t="str">
        <f t="shared" si="43"/>
        <v>November</v>
      </c>
      <c r="R471" s="3">
        <f t="shared" si="44"/>
        <v>2023</v>
      </c>
      <c r="S471" s="3" t="str">
        <f t="shared" si="45"/>
        <v>Q4</v>
      </c>
      <c r="T471" s="3" t="str">
        <f t="shared" si="46"/>
        <v>Chair</v>
      </c>
    </row>
    <row r="472" spans="1:20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47"/>
        <v>1054.48</v>
      </c>
      <c r="P472" t="str">
        <f t="shared" si="42"/>
        <v>Correct</v>
      </c>
      <c r="Q472" t="str">
        <f t="shared" si="43"/>
        <v>September</v>
      </c>
      <c r="R472" s="3">
        <f t="shared" si="44"/>
        <v>2023</v>
      </c>
      <c r="S472" s="3" t="str">
        <f t="shared" si="45"/>
        <v>Q3</v>
      </c>
      <c r="T472" s="3" t="str">
        <f t="shared" si="46"/>
        <v>Tablet</v>
      </c>
    </row>
    <row r="473" spans="1:20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47"/>
        <v>2756.35</v>
      </c>
      <c r="P473" t="str">
        <f t="shared" si="42"/>
        <v>Correct</v>
      </c>
      <c r="Q473" t="str">
        <f t="shared" si="43"/>
        <v>April</v>
      </c>
      <c r="R473" s="3">
        <f t="shared" si="44"/>
        <v>2025</v>
      </c>
      <c r="S473" s="3" t="str">
        <f t="shared" si="45"/>
        <v>Q2</v>
      </c>
      <c r="T473" s="3" t="str">
        <f t="shared" si="46"/>
        <v>Desk</v>
      </c>
    </row>
    <row r="474" spans="1:20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47"/>
        <v>1524.3600000000001</v>
      </c>
      <c r="P474" t="str">
        <f t="shared" si="42"/>
        <v>Correct</v>
      </c>
      <c r="Q474" t="str">
        <f t="shared" si="43"/>
        <v>January</v>
      </c>
      <c r="R474" s="3">
        <f t="shared" si="44"/>
        <v>2023</v>
      </c>
      <c r="S474" s="3" t="str">
        <f t="shared" si="45"/>
        <v>Q1</v>
      </c>
      <c r="T474" s="3" t="str">
        <f t="shared" si="46"/>
        <v>Chair</v>
      </c>
    </row>
    <row r="475" spans="1:20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47"/>
        <v>29.86</v>
      </c>
      <c r="P475" t="str">
        <f t="shared" si="42"/>
        <v>Correct</v>
      </c>
      <c r="Q475" t="str">
        <f t="shared" si="43"/>
        <v>February</v>
      </c>
      <c r="R475" s="3">
        <f t="shared" si="44"/>
        <v>2025</v>
      </c>
      <c r="S475" s="3" t="str">
        <f t="shared" si="45"/>
        <v>Q1</v>
      </c>
      <c r="T475" s="3" t="str">
        <f t="shared" si="46"/>
        <v>Chair</v>
      </c>
    </row>
    <row r="476" spans="1:20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47"/>
        <v>688.02</v>
      </c>
      <c r="P476" t="str">
        <f t="shared" si="42"/>
        <v>Correct</v>
      </c>
      <c r="Q476" t="str">
        <f t="shared" si="43"/>
        <v>November</v>
      </c>
      <c r="R476" s="3">
        <f t="shared" si="44"/>
        <v>2023</v>
      </c>
      <c r="S476" s="3" t="str">
        <f t="shared" si="45"/>
        <v>Q4</v>
      </c>
      <c r="T476" s="3" t="str">
        <f t="shared" si="46"/>
        <v>Printer</v>
      </c>
    </row>
    <row r="477" spans="1:20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47"/>
        <v>877.24</v>
      </c>
      <c r="P477" t="str">
        <f t="shared" si="42"/>
        <v>Correct</v>
      </c>
      <c r="Q477" t="str">
        <f t="shared" si="43"/>
        <v>April</v>
      </c>
      <c r="R477" s="3">
        <f t="shared" si="44"/>
        <v>2025</v>
      </c>
      <c r="S477" s="3" t="str">
        <f t="shared" si="45"/>
        <v>Q2</v>
      </c>
      <c r="T477" s="3" t="str">
        <f t="shared" si="46"/>
        <v>Tablet</v>
      </c>
    </row>
    <row r="478" spans="1:20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47"/>
        <v>1027.18</v>
      </c>
      <c r="P478" t="str">
        <f t="shared" si="42"/>
        <v>Correct</v>
      </c>
      <c r="Q478" t="str">
        <f t="shared" si="43"/>
        <v>January</v>
      </c>
      <c r="R478" s="3">
        <f t="shared" si="44"/>
        <v>2024</v>
      </c>
      <c r="S478" s="3" t="str">
        <f t="shared" si="45"/>
        <v>Q1</v>
      </c>
      <c r="T478" s="3" t="str">
        <f t="shared" si="46"/>
        <v>Phone</v>
      </c>
    </row>
    <row r="479" spans="1:20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47"/>
        <v>507.48</v>
      </c>
      <c r="P479" t="str">
        <f t="shared" si="42"/>
        <v>Correct</v>
      </c>
      <c r="Q479" t="str">
        <f t="shared" si="43"/>
        <v>March</v>
      </c>
      <c r="R479" s="3">
        <f t="shared" si="44"/>
        <v>2025</v>
      </c>
      <c r="S479" s="3" t="str">
        <f t="shared" si="45"/>
        <v>Q1</v>
      </c>
      <c r="T479" s="3" t="str">
        <f t="shared" si="46"/>
        <v>Phone</v>
      </c>
    </row>
    <row r="480" spans="1:20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47"/>
        <v>188.31</v>
      </c>
      <c r="P480" t="str">
        <f t="shared" si="42"/>
        <v>Correct</v>
      </c>
      <c r="Q480" t="str">
        <f t="shared" si="43"/>
        <v>November</v>
      </c>
      <c r="R480" s="3">
        <f t="shared" si="44"/>
        <v>2024</v>
      </c>
      <c r="S480" s="3" t="str">
        <f t="shared" si="45"/>
        <v>Q4</v>
      </c>
      <c r="T480" s="3" t="str">
        <f t="shared" si="46"/>
        <v>Tablet</v>
      </c>
    </row>
    <row r="481" spans="1:20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47"/>
        <v>101.16</v>
      </c>
      <c r="P481" t="str">
        <f t="shared" si="42"/>
        <v>Correct</v>
      </c>
      <c r="Q481" t="str">
        <f t="shared" si="43"/>
        <v>February</v>
      </c>
      <c r="R481" s="3">
        <f t="shared" si="44"/>
        <v>2023</v>
      </c>
      <c r="S481" s="3" t="str">
        <f t="shared" si="45"/>
        <v>Q1</v>
      </c>
      <c r="T481" s="3" t="str">
        <f t="shared" si="46"/>
        <v>Monitor</v>
      </c>
    </row>
    <row r="482" spans="1:20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47"/>
        <v>335.1</v>
      </c>
      <c r="P482" t="str">
        <f t="shared" si="42"/>
        <v>Correct</v>
      </c>
      <c r="Q482" t="str">
        <f t="shared" si="43"/>
        <v>June</v>
      </c>
      <c r="R482" s="3">
        <f t="shared" si="44"/>
        <v>2023</v>
      </c>
      <c r="S482" s="3" t="str">
        <f t="shared" si="45"/>
        <v>Q2</v>
      </c>
      <c r="T482" s="3" t="str">
        <f t="shared" si="46"/>
        <v>Chair</v>
      </c>
    </row>
    <row r="483" spans="1:20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47"/>
        <v>1939.4</v>
      </c>
      <c r="P483" t="str">
        <f t="shared" si="42"/>
        <v>Correct</v>
      </c>
      <c r="Q483" t="str">
        <f t="shared" si="43"/>
        <v>April</v>
      </c>
      <c r="R483" s="3">
        <f t="shared" si="44"/>
        <v>2023</v>
      </c>
      <c r="S483" s="3" t="str">
        <f t="shared" si="45"/>
        <v>Q2</v>
      </c>
      <c r="T483" s="3" t="str">
        <f t="shared" si="46"/>
        <v>Laptop</v>
      </c>
    </row>
    <row r="484" spans="1:20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47"/>
        <v>1144.23</v>
      </c>
      <c r="P484" t="str">
        <f t="shared" si="42"/>
        <v>Correct</v>
      </c>
      <c r="Q484" t="str">
        <f t="shared" si="43"/>
        <v>March</v>
      </c>
      <c r="R484" s="3">
        <f t="shared" si="44"/>
        <v>2025</v>
      </c>
      <c r="S484" s="3" t="str">
        <f t="shared" si="45"/>
        <v>Q1</v>
      </c>
      <c r="T484" s="3" t="str">
        <f t="shared" si="46"/>
        <v>Monitor</v>
      </c>
    </row>
    <row r="485" spans="1:20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47"/>
        <v>1739.6000000000001</v>
      </c>
      <c r="P485" t="str">
        <f t="shared" si="42"/>
        <v>Correct</v>
      </c>
      <c r="Q485" t="str">
        <f t="shared" si="43"/>
        <v>January</v>
      </c>
      <c r="R485" s="3">
        <f t="shared" si="44"/>
        <v>2023</v>
      </c>
      <c r="S485" s="3" t="str">
        <f t="shared" si="45"/>
        <v>Q1</v>
      </c>
      <c r="T485" s="3" t="str">
        <f t="shared" si="46"/>
        <v>Phone</v>
      </c>
    </row>
    <row r="486" spans="1:20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47"/>
        <v>60.04</v>
      </c>
      <c r="P486" t="str">
        <f t="shared" si="42"/>
        <v>Correct</v>
      </c>
      <c r="Q486" t="str">
        <f t="shared" si="43"/>
        <v>May</v>
      </c>
      <c r="R486" s="3">
        <f t="shared" si="44"/>
        <v>2024</v>
      </c>
      <c r="S486" s="3" t="str">
        <f t="shared" si="45"/>
        <v>Q2</v>
      </c>
      <c r="T486" s="3" t="str">
        <f t="shared" si="46"/>
        <v>Chair</v>
      </c>
    </row>
    <row r="487" spans="1:20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47"/>
        <v>1214.3700000000001</v>
      </c>
      <c r="P487" t="str">
        <f t="shared" si="42"/>
        <v>Correct</v>
      </c>
      <c r="Q487" t="str">
        <f t="shared" si="43"/>
        <v>August</v>
      </c>
      <c r="R487" s="3">
        <f t="shared" si="44"/>
        <v>2023</v>
      </c>
      <c r="S487" s="3" t="str">
        <f t="shared" si="45"/>
        <v>Q3</v>
      </c>
      <c r="T487" s="3" t="str">
        <f t="shared" si="46"/>
        <v>Chair</v>
      </c>
    </row>
    <row r="488" spans="1:20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47"/>
        <v>2445.04</v>
      </c>
      <c r="P488" t="str">
        <f t="shared" si="42"/>
        <v>Correct</v>
      </c>
      <c r="Q488" t="str">
        <f t="shared" si="43"/>
        <v>February</v>
      </c>
      <c r="R488" s="3">
        <f t="shared" si="44"/>
        <v>2023</v>
      </c>
      <c r="S488" s="3" t="str">
        <f t="shared" si="45"/>
        <v>Q1</v>
      </c>
      <c r="T488" s="3" t="str">
        <f t="shared" si="46"/>
        <v>Printer</v>
      </c>
    </row>
    <row r="489" spans="1:20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47"/>
        <v>1039.56</v>
      </c>
      <c r="P489" t="str">
        <f t="shared" si="42"/>
        <v>Correct</v>
      </c>
      <c r="Q489" t="str">
        <f t="shared" si="43"/>
        <v>March</v>
      </c>
      <c r="R489" s="3">
        <f t="shared" si="44"/>
        <v>2023</v>
      </c>
      <c r="S489" s="3" t="str">
        <f t="shared" si="45"/>
        <v>Q1</v>
      </c>
      <c r="T489" s="3" t="str">
        <f t="shared" si="46"/>
        <v>Printer</v>
      </c>
    </row>
    <row r="490" spans="1:20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47"/>
        <v>36.65</v>
      </c>
      <c r="P490" t="str">
        <f t="shared" si="42"/>
        <v>Correct</v>
      </c>
      <c r="Q490" t="str">
        <f t="shared" si="43"/>
        <v>December</v>
      </c>
      <c r="R490" s="3">
        <f t="shared" si="44"/>
        <v>2024</v>
      </c>
      <c r="S490" s="3" t="str">
        <f t="shared" si="45"/>
        <v>Q4</v>
      </c>
      <c r="T490" s="3" t="str">
        <f t="shared" si="46"/>
        <v>Chair</v>
      </c>
    </row>
    <row r="491" spans="1:20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47"/>
        <v>448.02</v>
      </c>
      <c r="P491" t="str">
        <f t="shared" si="42"/>
        <v>Correct</v>
      </c>
      <c r="Q491" t="str">
        <f t="shared" si="43"/>
        <v>September</v>
      </c>
      <c r="R491" s="3">
        <f t="shared" si="44"/>
        <v>2023</v>
      </c>
      <c r="S491" s="3" t="str">
        <f t="shared" si="45"/>
        <v>Q3</v>
      </c>
      <c r="T491" s="3" t="str">
        <f t="shared" si="46"/>
        <v>Tablet</v>
      </c>
    </row>
    <row r="492" spans="1:20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47"/>
        <v>2339.0500000000002</v>
      </c>
      <c r="P492" t="str">
        <f t="shared" si="42"/>
        <v>Correct</v>
      </c>
      <c r="Q492" t="str">
        <f t="shared" si="43"/>
        <v>July</v>
      </c>
      <c r="R492" s="3">
        <f t="shared" si="44"/>
        <v>2024</v>
      </c>
      <c r="S492" s="3" t="str">
        <f t="shared" si="45"/>
        <v>Q3</v>
      </c>
      <c r="T492" s="3" t="str">
        <f t="shared" si="46"/>
        <v>Chair</v>
      </c>
    </row>
    <row r="493" spans="1:20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47"/>
        <v>2103.5</v>
      </c>
      <c r="P493" t="str">
        <f t="shared" si="42"/>
        <v>Correct</v>
      </c>
      <c r="Q493" t="str">
        <f t="shared" si="43"/>
        <v>January</v>
      </c>
      <c r="R493" s="3">
        <f t="shared" si="44"/>
        <v>2023</v>
      </c>
      <c r="S493" s="3" t="str">
        <f t="shared" si="45"/>
        <v>Q1</v>
      </c>
      <c r="T493" s="3" t="str">
        <f t="shared" si="46"/>
        <v>Phone</v>
      </c>
    </row>
    <row r="494" spans="1:20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47"/>
        <v>3032.6</v>
      </c>
      <c r="P494" t="str">
        <f t="shared" si="42"/>
        <v>Correct</v>
      </c>
      <c r="Q494" t="str">
        <f t="shared" si="43"/>
        <v>October</v>
      </c>
      <c r="R494" s="3">
        <f t="shared" si="44"/>
        <v>2023</v>
      </c>
      <c r="S494" s="3" t="str">
        <f t="shared" si="45"/>
        <v>Q4</v>
      </c>
      <c r="T494" s="3" t="str">
        <f t="shared" si="46"/>
        <v>Laptop</v>
      </c>
    </row>
    <row r="495" spans="1:20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47"/>
        <v>420.26</v>
      </c>
      <c r="P495" t="str">
        <f t="shared" si="42"/>
        <v>Correct</v>
      </c>
      <c r="Q495" t="str">
        <f t="shared" si="43"/>
        <v>January</v>
      </c>
      <c r="R495" s="3">
        <f t="shared" si="44"/>
        <v>2025</v>
      </c>
      <c r="S495" s="3" t="str">
        <f t="shared" si="45"/>
        <v>Q1</v>
      </c>
      <c r="T495" s="3" t="str">
        <f t="shared" si="46"/>
        <v>Phone</v>
      </c>
    </row>
    <row r="496" spans="1:20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47"/>
        <v>1517.3700000000001</v>
      </c>
      <c r="P496" t="str">
        <f t="shared" si="42"/>
        <v>Correct</v>
      </c>
      <c r="Q496" t="str">
        <f t="shared" si="43"/>
        <v>July</v>
      </c>
      <c r="R496" s="3">
        <f t="shared" si="44"/>
        <v>2023</v>
      </c>
      <c r="S496" s="3" t="str">
        <f t="shared" si="45"/>
        <v>Q3</v>
      </c>
      <c r="T496" s="3" t="str">
        <f t="shared" si="46"/>
        <v>Laptop</v>
      </c>
    </row>
    <row r="497" spans="1:20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47"/>
        <v>1974.92</v>
      </c>
      <c r="P497" t="str">
        <f t="shared" si="42"/>
        <v>Correct</v>
      </c>
      <c r="Q497" t="str">
        <f t="shared" si="43"/>
        <v>June</v>
      </c>
      <c r="R497" s="3">
        <f t="shared" si="44"/>
        <v>2025</v>
      </c>
      <c r="S497" s="3" t="str">
        <f t="shared" si="45"/>
        <v>Q2</v>
      </c>
      <c r="T497" s="3" t="str">
        <f t="shared" si="46"/>
        <v>Phone</v>
      </c>
    </row>
    <row r="498" spans="1:20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47"/>
        <v>603.63</v>
      </c>
      <c r="P498" t="str">
        <f t="shared" si="42"/>
        <v>Correct</v>
      </c>
      <c r="Q498" t="str">
        <f t="shared" si="43"/>
        <v>March</v>
      </c>
      <c r="R498" s="3">
        <f t="shared" si="44"/>
        <v>2025</v>
      </c>
      <c r="S498" s="3" t="str">
        <f t="shared" si="45"/>
        <v>Q1</v>
      </c>
      <c r="T498" s="3" t="str">
        <f t="shared" si="46"/>
        <v>Printer</v>
      </c>
    </row>
    <row r="499" spans="1:20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47"/>
        <v>336.87</v>
      </c>
      <c r="P499" t="str">
        <f t="shared" si="42"/>
        <v>Correct</v>
      </c>
      <c r="Q499" t="str">
        <f t="shared" si="43"/>
        <v>October</v>
      </c>
      <c r="R499" s="3">
        <f t="shared" si="44"/>
        <v>2024</v>
      </c>
      <c r="S499" s="3" t="str">
        <f t="shared" si="45"/>
        <v>Q4</v>
      </c>
      <c r="T499" s="3" t="str">
        <f t="shared" si="46"/>
        <v>Printer</v>
      </c>
    </row>
    <row r="500" spans="1:20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47"/>
        <v>530.24</v>
      </c>
      <c r="P500" t="str">
        <f t="shared" si="42"/>
        <v>Correct</v>
      </c>
      <c r="Q500" t="str">
        <f t="shared" si="43"/>
        <v>July</v>
      </c>
      <c r="R500" s="3">
        <f t="shared" si="44"/>
        <v>2023</v>
      </c>
      <c r="S500" s="3" t="str">
        <f t="shared" si="45"/>
        <v>Q3</v>
      </c>
      <c r="T500" s="3" t="str">
        <f t="shared" si="46"/>
        <v>Tablet</v>
      </c>
    </row>
    <row r="501" spans="1:20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47"/>
        <v>1618.38</v>
      </c>
      <c r="P501" t="str">
        <f t="shared" si="42"/>
        <v>Correct</v>
      </c>
      <c r="Q501" t="str">
        <f t="shared" si="43"/>
        <v>April</v>
      </c>
      <c r="R501" s="3">
        <f t="shared" si="44"/>
        <v>2023</v>
      </c>
      <c r="S501" s="3" t="str">
        <f t="shared" si="45"/>
        <v>Q2</v>
      </c>
      <c r="T501" s="3" t="str">
        <f t="shared" si="46"/>
        <v>Printer</v>
      </c>
    </row>
    <row r="502" spans="1:20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47"/>
        <v>2542.9499999999998</v>
      </c>
      <c r="P502" t="str">
        <f t="shared" si="42"/>
        <v>Correct</v>
      </c>
      <c r="Q502" t="str">
        <f t="shared" si="43"/>
        <v>April</v>
      </c>
      <c r="R502" s="3">
        <f t="shared" si="44"/>
        <v>2024</v>
      </c>
      <c r="S502" s="3" t="str">
        <f t="shared" si="45"/>
        <v>Q2</v>
      </c>
      <c r="T502" s="3" t="str">
        <f t="shared" si="46"/>
        <v>Laptop</v>
      </c>
    </row>
    <row r="503" spans="1:20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47"/>
        <v>813.84</v>
      </c>
      <c r="P503" t="str">
        <f t="shared" si="42"/>
        <v>Correct</v>
      </c>
      <c r="Q503" t="str">
        <f t="shared" si="43"/>
        <v>February</v>
      </c>
      <c r="R503" s="3">
        <f t="shared" si="44"/>
        <v>2024</v>
      </c>
      <c r="S503" s="3" t="str">
        <f t="shared" si="45"/>
        <v>Q1</v>
      </c>
      <c r="T503" s="3" t="str">
        <f t="shared" si="46"/>
        <v>Desk</v>
      </c>
    </row>
    <row r="504" spans="1:20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47"/>
        <v>1695.75</v>
      </c>
      <c r="P504" t="str">
        <f t="shared" si="42"/>
        <v>Correct</v>
      </c>
      <c r="Q504" t="str">
        <f t="shared" si="43"/>
        <v>May</v>
      </c>
      <c r="R504" s="3">
        <f t="shared" si="44"/>
        <v>2023</v>
      </c>
      <c r="S504" s="3" t="str">
        <f t="shared" si="45"/>
        <v>Q2</v>
      </c>
      <c r="T504" s="3" t="str">
        <f t="shared" si="46"/>
        <v>Monitor</v>
      </c>
    </row>
    <row r="505" spans="1:20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47"/>
        <v>410.52</v>
      </c>
      <c r="P505" t="str">
        <f t="shared" si="42"/>
        <v>Correct</v>
      </c>
      <c r="Q505" t="str">
        <f t="shared" si="43"/>
        <v>August</v>
      </c>
      <c r="R505" s="3">
        <f t="shared" si="44"/>
        <v>2023</v>
      </c>
      <c r="S505" s="3" t="str">
        <f t="shared" si="45"/>
        <v>Q3</v>
      </c>
      <c r="T505" s="3" t="str">
        <f t="shared" si="46"/>
        <v>Tablet</v>
      </c>
    </row>
    <row r="506" spans="1:20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47"/>
        <v>929</v>
      </c>
      <c r="P506" t="str">
        <f t="shared" si="42"/>
        <v>Correct</v>
      </c>
      <c r="Q506" t="str">
        <f t="shared" si="43"/>
        <v>June</v>
      </c>
      <c r="R506" s="3">
        <f t="shared" si="44"/>
        <v>2025</v>
      </c>
      <c r="S506" s="3" t="str">
        <f t="shared" si="45"/>
        <v>Q2</v>
      </c>
      <c r="T506" s="3" t="str">
        <f t="shared" si="46"/>
        <v>Monitor</v>
      </c>
    </row>
    <row r="507" spans="1:20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47"/>
        <v>869.94</v>
      </c>
      <c r="P507" t="str">
        <f t="shared" si="42"/>
        <v>Correct</v>
      </c>
      <c r="Q507" t="str">
        <f t="shared" si="43"/>
        <v>June</v>
      </c>
      <c r="R507" s="3">
        <f t="shared" si="44"/>
        <v>2023</v>
      </c>
      <c r="S507" s="3" t="str">
        <f t="shared" si="45"/>
        <v>Q2</v>
      </c>
      <c r="T507" s="3" t="str">
        <f t="shared" si="46"/>
        <v>Printer</v>
      </c>
    </row>
    <row r="508" spans="1:20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47"/>
        <v>87.34</v>
      </c>
      <c r="P508" t="str">
        <f t="shared" si="42"/>
        <v>Correct</v>
      </c>
      <c r="Q508" t="str">
        <f t="shared" si="43"/>
        <v>July</v>
      </c>
      <c r="R508" s="3">
        <f t="shared" si="44"/>
        <v>2023</v>
      </c>
      <c r="S508" s="3" t="str">
        <f t="shared" si="45"/>
        <v>Q3</v>
      </c>
      <c r="T508" s="3" t="str">
        <f t="shared" si="46"/>
        <v>Monitor</v>
      </c>
    </row>
    <row r="509" spans="1:20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47"/>
        <v>171.59</v>
      </c>
      <c r="P509" t="str">
        <f t="shared" si="42"/>
        <v>Correct</v>
      </c>
      <c r="Q509" t="str">
        <f t="shared" si="43"/>
        <v>July</v>
      </c>
      <c r="R509" s="3">
        <f t="shared" si="44"/>
        <v>2023</v>
      </c>
      <c r="S509" s="3" t="str">
        <f t="shared" si="45"/>
        <v>Q3</v>
      </c>
      <c r="T509" s="3" t="str">
        <f t="shared" si="46"/>
        <v>Phone</v>
      </c>
    </row>
    <row r="510" spans="1:20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47"/>
        <v>558.27</v>
      </c>
      <c r="P510" t="str">
        <f t="shared" si="42"/>
        <v>Correct</v>
      </c>
      <c r="Q510" t="str">
        <f t="shared" si="43"/>
        <v>May</v>
      </c>
      <c r="R510" s="3">
        <f t="shared" si="44"/>
        <v>2025</v>
      </c>
      <c r="S510" s="3" t="str">
        <f t="shared" si="45"/>
        <v>Q2</v>
      </c>
      <c r="T510" s="3" t="str">
        <f t="shared" si="46"/>
        <v>Phone</v>
      </c>
    </row>
    <row r="511" spans="1:20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47"/>
        <v>850.06</v>
      </c>
      <c r="P511" t="str">
        <f t="shared" si="42"/>
        <v>Correct</v>
      </c>
      <c r="Q511" t="str">
        <f t="shared" si="43"/>
        <v>February</v>
      </c>
      <c r="R511" s="3">
        <f t="shared" si="44"/>
        <v>2023</v>
      </c>
      <c r="S511" s="3" t="str">
        <f t="shared" si="45"/>
        <v>Q1</v>
      </c>
      <c r="T511" s="3" t="str">
        <f t="shared" si="46"/>
        <v>Laptop</v>
      </c>
    </row>
    <row r="512" spans="1:20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47"/>
        <v>376.76</v>
      </c>
      <c r="P512" t="str">
        <f t="shared" si="42"/>
        <v>Correct</v>
      </c>
      <c r="Q512" t="str">
        <f t="shared" si="43"/>
        <v>December</v>
      </c>
      <c r="R512" s="3">
        <f t="shared" si="44"/>
        <v>2024</v>
      </c>
      <c r="S512" s="3" t="str">
        <f t="shared" si="45"/>
        <v>Q4</v>
      </c>
      <c r="T512" s="3" t="str">
        <f t="shared" si="46"/>
        <v>Printer</v>
      </c>
    </row>
    <row r="513" spans="1:20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47"/>
        <v>2876.2</v>
      </c>
      <c r="P513" t="str">
        <f t="shared" si="42"/>
        <v>Correct</v>
      </c>
      <c r="Q513" t="str">
        <f t="shared" si="43"/>
        <v>March</v>
      </c>
      <c r="R513" s="3">
        <f t="shared" si="44"/>
        <v>2024</v>
      </c>
      <c r="S513" s="3" t="str">
        <f t="shared" si="45"/>
        <v>Q1</v>
      </c>
      <c r="T513" s="3" t="str">
        <f t="shared" si="46"/>
        <v>Monitor</v>
      </c>
    </row>
    <row r="514" spans="1:20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47"/>
        <v>1704.06</v>
      </c>
      <c r="P514" t="str">
        <f t="shared" ref="P514:P577" si="48">IF(O514=N514,"Correct","Error")</f>
        <v>Correct</v>
      </c>
      <c r="Q514" t="str">
        <f t="shared" ref="Q514:Q577" si="49">TEXT(B514,"MMMM")</f>
        <v>September</v>
      </c>
      <c r="R514" s="3">
        <f t="shared" ref="R514:R577" si="50">YEAR(B514)</f>
        <v>2024</v>
      </c>
      <c r="S514" s="3" t="str">
        <f t="shared" ref="S514:S577" si="51">"Q"&amp;ROUNDUP(MONTH(B514)/3,0)</f>
        <v>Q3</v>
      </c>
      <c r="T514" s="3" t="str">
        <f t="shared" ref="T514:T577" si="52">TRIM(D514)</f>
        <v>Desk</v>
      </c>
    </row>
    <row r="515" spans="1:20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53">E515*F515</f>
        <v>284.64</v>
      </c>
      <c r="P515" t="str">
        <f t="shared" si="48"/>
        <v>Correct</v>
      </c>
      <c r="Q515" t="str">
        <f t="shared" si="49"/>
        <v>February</v>
      </c>
      <c r="R515" s="3">
        <f t="shared" si="50"/>
        <v>2025</v>
      </c>
      <c r="S515" s="3" t="str">
        <f t="shared" si="51"/>
        <v>Q1</v>
      </c>
      <c r="T515" s="3" t="str">
        <f t="shared" si="52"/>
        <v>Tablet</v>
      </c>
    </row>
    <row r="516" spans="1:20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53"/>
        <v>912.44999999999993</v>
      </c>
      <c r="P516" t="str">
        <f t="shared" si="48"/>
        <v>Correct</v>
      </c>
      <c r="Q516" t="str">
        <f t="shared" si="49"/>
        <v>April</v>
      </c>
      <c r="R516" s="3">
        <f t="shared" si="50"/>
        <v>2023</v>
      </c>
      <c r="S516" s="3" t="str">
        <f t="shared" si="51"/>
        <v>Q2</v>
      </c>
      <c r="T516" s="3" t="str">
        <f t="shared" si="52"/>
        <v>Printer</v>
      </c>
    </row>
    <row r="517" spans="1:20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53"/>
        <v>1660.56</v>
      </c>
      <c r="P517" t="str">
        <f t="shared" si="48"/>
        <v>Correct</v>
      </c>
      <c r="Q517" t="str">
        <f t="shared" si="49"/>
        <v>March</v>
      </c>
      <c r="R517" s="3">
        <f t="shared" si="50"/>
        <v>2023</v>
      </c>
      <c r="S517" s="3" t="str">
        <f t="shared" si="51"/>
        <v>Q1</v>
      </c>
      <c r="T517" s="3" t="str">
        <f t="shared" si="52"/>
        <v>Phone</v>
      </c>
    </row>
    <row r="518" spans="1:20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53"/>
        <v>500.97</v>
      </c>
      <c r="P518" t="str">
        <f t="shared" si="48"/>
        <v>Correct</v>
      </c>
      <c r="Q518" t="str">
        <f t="shared" si="49"/>
        <v>April</v>
      </c>
      <c r="R518" s="3">
        <f t="shared" si="50"/>
        <v>2024</v>
      </c>
      <c r="S518" s="3" t="str">
        <f t="shared" si="51"/>
        <v>Q2</v>
      </c>
      <c r="T518" s="3" t="str">
        <f t="shared" si="52"/>
        <v>Monitor</v>
      </c>
    </row>
    <row r="519" spans="1:20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53"/>
        <v>793.4</v>
      </c>
      <c r="P519" t="str">
        <f t="shared" si="48"/>
        <v>Correct</v>
      </c>
      <c r="Q519" t="str">
        <f t="shared" si="49"/>
        <v>April</v>
      </c>
      <c r="R519" s="3">
        <f t="shared" si="50"/>
        <v>2024</v>
      </c>
      <c r="S519" s="3" t="str">
        <f t="shared" si="51"/>
        <v>Q2</v>
      </c>
      <c r="T519" s="3" t="str">
        <f t="shared" si="52"/>
        <v>Tablet</v>
      </c>
    </row>
    <row r="520" spans="1:20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53"/>
        <v>1614.32</v>
      </c>
      <c r="P520" t="str">
        <f t="shared" si="48"/>
        <v>Correct</v>
      </c>
      <c r="Q520" t="str">
        <f t="shared" si="49"/>
        <v>June</v>
      </c>
      <c r="R520" s="3">
        <f t="shared" si="50"/>
        <v>2025</v>
      </c>
      <c r="S520" s="3" t="str">
        <f t="shared" si="51"/>
        <v>Q2</v>
      </c>
      <c r="T520" s="3" t="str">
        <f t="shared" si="52"/>
        <v>Printer</v>
      </c>
    </row>
    <row r="521" spans="1:20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53"/>
        <v>1857.16</v>
      </c>
      <c r="P521" t="str">
        <f t="shared" si="48"/>
        <v>Correct</v>
      </c>
      <c r="Q521" t="str">
        <f t="shared" si="49"/>
        <v>May</v>
      </c>
      <c r="R521" s="3">
        <f t="shared" si="50"/>
        <v>2025</v>
      </c>
      <c r="S521" s="3" t="str">
        <f t="shared" si="51"/>
        <v>Q2</v>
      </c>
      <c r="T521" s="3" t="str">
        <f t="shared" si="52"/>
        <v>Laptop</v>
      </c>
    </row>
    <row r="522" spans="1:20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53"/>
        <v>1907.94</v>
      </c>
      <c r="P522" t="str">
        <f t="shared" si="48"/>
        <v>Correct</v>
      </c>
      <c r="Q522" t="str">
        <f t="shared" si="49"/>
        <v>March</v>
      </c>
      <c r="R522" s="3">
        <f t="shared" si="50"/>
        <v>2023</v>
      </c>
      <c r="S522" s="3" t="str">
        <f t="shared" si="51"/>
        <v>Q1</v>
      </c>
      <c r="T522" s="3" t="str">
        <f t="shared" si="52"/>
        <v>Monitor</v>
      </c>
    </row>
    <row r="523" spans="1:20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53"/>
        <v>528.05999999999995</v>
      </c>
      <c r="P523" t="str">
        <f t="shared" si="48"/>
        <v>Correct</v>
      </c>
      <c r="Q523" t="str">
        <f t="shared" si="49"/>
        <v>February</v>
      </c>
      <c r="R523" s="3">
        <f t="shared" si="50"/>
        <v>2024</v>
      </c>
      <c r="S523" s="3" t="str">
        <f t="shared" si="51"/>
        <v>Q1</v>
      </c>
      <c r="T523" s="3" t="str">
        <f t="shared" si="52"/>
        <v>Phone</v>
      </c>
    </row>
    <row r="524" spans="1:20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53"/>
        <v>515.32000000000005</v>
      </c>
      <c r="P524" t="str">
        <f t="shared" si="48"/>
        <v>Correct</v>
      </c>
      <c r="Q524" t="str">
        <f t="shared" si="49"/>
        <v>April</v>
      </c>
      <c r="R524" s="3">
        <f t="shared" si="50"/>
        <v>2024</v>
      </c>
      <c r="S524" s="3" t="str">
        <f t="shared" si="51"/>
        <v>Q2</v>
      </c>
      <c r="T524" s="3" t="str">
        <f t="shared" si="52"/>
        <v>Chair</v>
      </c>
    </row>
    <row r="525" spans="1:20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53"/>
        <v>2631.16</v>
      </c>
      <c r="P525" t="str">
        <f t="shared" si="48"/>
        <v>Correct</v>
      </c>
      <c r="Q525" t="str">
        <f t="shared" si="49"/>
        <v>February</v>
      </c>
      <c r="R525" s="3">
        <f t="shared" si="50"/>
        <v>2025</v>
      </c>
      <c r="S525" s="3" t="str">
        <f t="shared" si="51"/>
        <v>Q1</v>
      </c>
      <c r="T525" s="3" t="str">
        <f t="shared" si="52"/>
        <v>Desk</v>
      </c>
    </row>
    <row r="526" spans="1:20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53"/>
        <v>153</v>
      </c>
      <c r="P526" t="str">
        <f t="shared" si="48"/>
        <v>Correct</v>
      </c>
      <c r="Q526" t="str">
        <f t="shared" si="49"/>
        <v>October</v>
      </c>
      <c r="R526" s="3">
        <f t="shared" si="50"/>
        <v>2023</v>
      </c>
      <c r="S526" s="3" t="str">
        <f t="shared" si="51"/>
        <v>Q4</v>
      </c>
      <c r="T526" s="3" t="str">
        <f t="shared" si="52"/>
        <v>Phone</v>
      </c>
    </row>
    <row r="527" spans="1:20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53"/>
        <v>668.48</v>
      </c>
      <c r="P527" t="str">
        <f t="shared" si="48"/>
        <v>Correct</v>
      </c>
      <c r="Q527" t="str">
        <f t="shared" si="49"/>
        <v>December</v>
      </c>
      <c r="R527" s="3">
        <f t="shared" si="50"/>
        <v>2023</v>
      </c>
      <c r="S527" s="3" t="str">
        <f t="shared" si="51"/>
        <v>Q4</v>
      </c>
      <c r="T527" s="3" t="str">
        <f t="shared" si="52"/>
        <v>Monitor</v>
      </c>
    </row>
    <row r="528" spans="1:20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53"/>
        <v>93</v>
      </c>
      <c r="P528" t="str">
        <f t="shared" si="48"/>
        <v>Correct</v>
      </c>
      <c r="Q528" t="str">
        <f t="shared" si="49"/>
        <v>February</v>
      </c>
      <c r="R528" s="3">
        <f t="shared" si="50"/>
        <v>2024</v>
      </c>
      <c r="S528" s="3" t="str">
        <f t="shared" si="51"/>
        <v>Q1</v>
      </c>
      <c r="T528" s="3" t="str">
        <f t="shared" si="52"/>
        <v>Desk</v>
      </c>
    </row>
    <row r="529" spans="1:20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53"/>
        <v>3267.3500000000004</v>
      </c>
      <c r="P529" t="str">
        <f t="shared" si="48"/>
        <v>Correct</v>
      </c>
      <c r="Q529" t="str">
        <f t="shared" si="49"/>
        <v>August</v>
      </c>
      <c r="R529" s="3">
        <f t="shared" si="50"/>
        <v>2024</v>
      </c>
      <c r="S529" s="3" t="str">
        <f t="shared" si="51"/>
        <v>Q3</v>
      </c>
      <c r="T529" s="3" t="str">
        <f t="shared" si="52"/>
        <v>Chair</v>
      </c>
    </row>
    <row r="530" spans="1:20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53"/>
        <v>628.89</v>
      </c>
      <c r="P530" t="str">
        <f t="shared" si="48"/>
        <v>Correct</v>
      </c>
      <c r="Q530" t="str">
        <f t="shared" si="49"/>
        <v>February</v>
      </c>
      <c r="R530" s="3">
        <f t="shared" si="50"/>
        <v>2025</v>
      </c>
      <c r="S530" s="3" t="str">
        <f t="shared" si="51"/>
        <v>Q1</v>
      </c>
      <c r="T530" s="3" t="str">
        <f t="shared" si="52"/>
        <v>Chair</v>
      </c>
    </row>
    <row r="531" spans="1:20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53"/>
        <v>1350.2</v>
      </c>
      <c r="P531" t="str">
        <f t="shared" si="48"/>
        <v>Correct</v>
      </c>
      <c r="Q531" t="str">
        <f t="shared" si="49"/>
        <v>April</v>
      </c>
      <c r="R531" s="3">
        <f t="shared" si="50"/>
        <v>2024</v>
      </c>
      <c r="S531" s="3" t="str">
        <f t="shared" si="51"/>
        <v>Q2</v>
      </c>
      <c r="T531" s="3" t="str">
        <f t="shared" si="52"/>
        <v>Tablet</v>
      </c>
    </row>
    <row r="532" spans="1:20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53"/>
        <v>357.64</v>
      </c>
      <c r="P532" t="str">
        <f t="shared" si="48"/>
        <v>Correct</v>
      </c>
      <c r="Q532" t="str">
        <f t="shared" si="49"/>
        <v>July</v>
      </c>
      <c r="R532" s="3">
        <f t="shared" si="50"/>
        <v>2024</v>
      </c>
      <c r="S532" s="3" t="str">
        <f t="shared" si="51"/>
        <v>Q3</v>
      </c>
      <c r="T532" s="3" t="str">
        <f t="shared" si="52"/>
        <v>Chair</v>
      </c>
    </row>
    <row r="533" spans="1:20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53"/>
        <v>1600.05</v>
      </c>
      <c r="P533" t="str">
        <f t="shared" si="48"/>
        <v>Correct</v>
      </c>
      <c r="Q533" t="str">
        <f t="shared" si="49"/>
        <v>July</v>
      </c>
      <c r="R533" s="3">
        <f t="shared" si="50"/>
        <v>2024</v>
      </c>
      <c r="S533" s="3" t="str">
        <f t="shared" si="51"/>
        <v>Q3</v>
      </c>
      <c r="T533" s="3" t="str">
        <f t="shared" si="52"/>
        <v>Desk</v>
      </c>
    </row>
    <row r="534" spans="1:20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53"/>
        <v>82</v>
      </c>
      <c r="P534" t="str">
        <f t="shared" si="48"/>
        <v>Correct</v>
      </c>
      <c r="Q534" t="str">
        <f t="shared" si="49"/>
        <v>May</v>
      </c>
      <c r="R534" s="3">
        <f t="shared" si="50"/>
        <v>2025</v>
      </c>
      <c r="S534" s="3" t="str">
        <f t="shared" si="51"/>
        <v>Q2</v>
      </c>
      <c r="T534" s="3" t="str">
        <f t="shared" si="52"/>
        <v>Laptop</v>
      </c>
    </row>
    <row r="535" spans="1:20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53"/>
        <v>565.85</v>
      </c>
      <c r="P535" t="str">
        <f t="shared" si="48"/>
        <v>Correct</v>
      </c>
      <c r="Q535" t="str">
        <f t="shared" si="49"/>
        <v>March</v>
      </c>
      <c r="R535" s="3">
        <f t="shared" si="50"/>
        <v>2023</v>
      </c>
      <c r="S535" s="3" t="str">
        <f t="shared" si="51"/>
        <v>Q1</v>
      </c>
      <c r="T535" s="3" t="str">
        <f t="shared" si="52"/>
        <v>Desk</v>
      </c>
    </row>
    <row r="536" spans="1:20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53"/>
        <v>1945.77</v>
      </c>
      <c r="P536" t="str">
        <f t="shared" si="48"/>
        <v>Correct</v>
      </c>
      <c r="Q536" t="str">
        <f t="shared" si="49"/>
        <v>June</v>
      </c>
      <c r="R536" s="3">
        <f t="shared" si="50"/>
        <v>2024</v>
      </c>
      <c r="S536" s="3" t="str">
        <f t="shared" si="51"/>
        <v>Q2</v>
      </c>
      <c r="T536" s="3" t="str">
        <f t="shared" si="52"/>
        <v>Chair</v>
      </c>
    </row>
    <row r="537" spans="1:20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53"/>
        <v>204.36</v>
      </c>
      <c r="P537" t="str">
        <f t="shared" si="48"/>
        <v>Correct</v>
      </c>
      <c r="Q537" t="str">
        <f t="shared" si="49"/>
        <v>July</v>
      </c>
      <c r="R537" s="3">
        <f t="shared" si="50"/>
        <v>2024</v>
      </c>
      <c r="S537" s="3" t="str">
        <f t="shared" si="51"/>
        <v>Q3</v>
      </c>
      <c r="T537" s="3" t="str">
        <f t="shared" si="52"/>
        <v>Monitor</v>
      </c>
    </row>
    <row r="538" spans="1:20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53"/>
        <v>616.1</v>
      </c>
      <c r="P538" t="str">
        <f t="shared" si="48"/>
        <v>Correct</v>
      </c>
      <c r="Q538" t="str">
        <f t="shared" si="49"/>
        <v>June</v>
      </c>
      <c r="R538" s="3">
        <f t="shared" si="50"/>
        <v>2024</v>
      </c>
      <c r="S538" s="3" t="str">
        <f t="shared" si="51"/>
        <v>Q2</v>
      </c>
      <c r="T538" s="3" t="str">
        <f t="shared" si="52"/>
        <v>Chair</v>
      </c>
    </row>
    <row r="539" spans="1:20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53"/>
        <v>742.41</v>
      </c>
      <c r="P539" t="str">
        <f t="shared" si="48"/>
        <v>Correct</v>
      </c>
      <c r="Q539" t="str">
        <f t="shared" si="49"/>
        <v>March</v>
      </c>
      <c r="R539" s="3">
        <f t="shared" si="50"/>
        <v>2025</v>
      </c>
      <c r="S539" s="3" t="str">
        <f t="shared" si="51"/>
        <v>Q1</v>
      </c>
      <c r="T539" s="3" t="str">
        <f t="shared" si="52"/>
        <v>Tablet</v>
      </c>
    </row>
    <row r="540" spans="1:20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53"/>
        <v>1472.22</v>
      </c>
      <c r="P540" t="str">
        <f t="shared" si="48"/>
        <v>Correct</v>
      </c>
      <c r="Q540" t="str">
        <f t="shared" si="49"/>
        <v>May</v>
      </c>
      <c r="R540" s="3">
        <f t="shared" si="50"/>
        <v>2024</v>
      </c>
      <c r="S540" s="3" t="str">
        <f t="shared" si="51"/>
        <v>Q2</v>
      </c>
      <c r="T540" s="3" t="str">
        <f t="shared" si="52"/>
        <v>Phone</v>
      </c>
    </row>
    <row r="541" spans="1:20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53"/>
        <v>1595.16</v>
      </c>
      <c r="P541" t="str">
        <f t="shared" si="48"/>
        <v>Correct</v>
      </c>
      <c r="Q541" t="str">
        <f t="shared" si="49"/>
        <v>February</v>
      </c>
      <c r="R541" s="3">
        <f t="shared" si="50"/>
        <v>2025</v>
      </c>
      <c r="S541" s="3" t="str">
        <f t="shared" si="51"/>
        <v>Q1</v>
      </c>
      <c r="T541" s="3" t="str">
        <f t="shared" si="52"/>
        <v>Desk</v>
      </c>
    </row>
    <row r="542" spans="1:20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53"/>
        <v>3243.25</v>
      </c>
      <c r="P542" t="str">
        <f t="shared" si="48"/>
        <v>Correct</v>
      </c>
      <c r="Q542" t="str">
        <f t="shared" si="49"/>
        <v>January</v>
      </c>
      <c r="R542" s="3">
        <f t="shared" si="50"/>
        <v>2024</v>
      </c>
      <c r="S542" s="3" t="str">
        <f t="shared" si="51"/>
        <v>Q1</v>
      </c>
      <c r="T542" s="3" t="str">
        <f t="shared" si="52"/>
        <v>Laptop</v>
      </c>
    </row>
    <row r="543" spans="1:20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53"/>
        <v>2280.3000000000002</v>
      </c>
      <c r="P543" t="str">
        <f t="shared" si="48"/>
        <v>Correct</v>
      </c>
      <c r="Q543" t="str">
        <f t="shared" si="49"/>
        <v>August</v>
      </c>
      <c r="R543" s="3">
        <f t="shared" si="50"/>
        <v>2023</v>
      </c>
      <c r="S543" s="3" t="str">
        <f t="shared" si="51"/>
        <v>Q3</v>
      </c>
      <c r="T543" s="3" t="str">
        <f t="shared" si="52"/>
        <v>Printer</v>
      </c>
    </row>
    <row r="544" spans="1:20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53"/>
        <v>17.98</v>
      </c>
      <c r="P544" t="str">
        <f t="shared" si="48"/>
        <v>Correct</v>
      </c>
      <c r="Q544" t="str">
        <f t="shared" si="49"/>
        <v>November</v>
      </c>
      <c r="R544" s="3">
        <f t="shared" si="50"/>
        <v>2023</v>
      </c>
      <c r="S544" s="3" t="str">
        <f t="shared" si="51"/>
        <v>Q4</v>
      </c>
      <c r="T544" s="3" t="str">
        <f t="shared" si="52"/>
        <v>Tablet</v>
      </c>
    </row>
    <row r="545" spans="1:20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53"/>
        <v>1349.3000000000002</v>
      </c>
      <c r="P545" t="str">
        <f t="shared" si="48"/>
        <v>Correct</v>
      </c>
      <c r="Q545" t="str">
        <f t="shared" si="49"/>
        <v>March</v>
      </c>
      <c r="R545" s="3">
        <f t="shared" si="50"/>
        <v>2024</v>
      </c>
      <c r="S545" s="3" t="str">
        <f t="shared" si="51"/>
        <v>Q1</v>
      </c>
      <c r="T545" s="3" t="str">
        <f t="shared" si="52"/>
        <v>Desk</v>
      </c>
    </row>
    <row r="546" spans="1:20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53"/>
        <v>159.80000000000001</v>
      </c>
      <c r="P546" t="str">
        <f t="shared" si="48"/>
        <v>Correct</v>
      </c>
      <c r="Q546" t="str">
        <f t="shared" si="49"/>
        <v>March</v>
      </c>
      <c r="R546" s="3">
        <f t="shared" si="50"/>
        <v>2024</v>
      </c>
      <c r="S546" s="3" t="str">
        <f t="shared" si="51"/>
        <v>Q1</v>
      </c>
      <c r="T546" s="3" t="str">
        <f t="shared" si="52"/>
        <v>Printer</v>
      </c>
    </row>
    <row r="547" spans="1:20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53"/>
        <v>196.94</v>
      </c>
      <c r="P547" t="str">
        <f t="shared" si="48"/>
        <v>Correct</v>
      </c>
      <c r="Q547" t="str">
        <f t="shared" si="49"/>
        <v>December</v>
      </c>
      <c r="R547" s="3">
        <f t="shared" si="50"/>
        <v>2023</v>
      </c>
      <c r="S547" s="3" t="str">
        <f t="shared" si="51"/>
        <v>Q4</v>
      </c>
      <c r="T547" s="3" t="str">
        <f t="shared" si="52"/>
        <v>Monitor</v>
      </c>
    </row>
    <row r="548" spans="1:20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53"/>
        <v>158.68</v>
      </c>
      <c r="P548" t="str">
        <f t="shared" si="48"/>
        <v>Correct</v>
      </c>
      <c r="Q548" t="str">
        <f t="shared" si="49"/>
        <v>March</v>
      </c>
      <c r="R548" s="3">
        <f t="shared" si="50"/>
        <v>2024</v>
      </c>
      <c r="S548" s="3" t="str">
        <f t="shared" si="51"/>
        <v>Q1</v>
      </c>
      <c r="T548" s="3" t="str">
        <f t="shared" si="52"/>
        <v>Monitor</v>
      </c>
    </row>
    <row r="549" spans="1:20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53"/>
        <v>613.98</v>
      </c>
      <c r="P549" t="str">
        <f t="shared" si="48"/>
        <v>Correct</v>
      </c>
      <c r="Q549" t="str">
        <f t="shared" si="49"/>
        <v>August</v>
      </c>
      <c r="R549" s="3">
        <f t="shared" si="50"/>
        <v>2023</v>
      </c>
      <c r="S549" s="3" t="str">
        <f t="shared" si="51"/>
        <v>Q3</v>
      </c>
      <c r="T549" s="3" t="str">
        <f t="shared" si="52"/>
        <v>Phone</v>
      </c>
    </row>
    <row r="550" spans="1:20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53"/>
        <v>1278.3600000000001</v>
      </c>
      <c r="P550" t="str">
        <f t="shared" si="48"/>
        <v>Correct</v>
      </c>
      <c r="Q550" t="str">
        <f t="shared" si="49"/>
        <v>January</v>
      </c>
      <c r="R550" s="3">
        <f t="shared" si="50"/>
        <v>2024</v>
      </c>
      <c r="S550" s="3" t="str">
        <f t="shared" si="51"/>
        <v>Q1</v>
      </c>
      <c r="T550" s="3" t="str">
        <f t="shared" si="52"/>
        <v>Printer</v>
      </c>
    </row>
    <row r="551" spans="1:20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53"/>
        <v>2519.52</v>
      </c>
      <c r="P551" t="str">
        <f t="shared" si="48"/>
        <v>Correct</v>
      </c>
      <c r="Q551" t="str">
        <f t="shared" si="49"/>
        <v>February</v>
      </c>
      <c r="R551" s="3">
        <f t="shared" si="50"/>
        <v>2025</v>
      </c>
      <c r="S551" s="3" t="str">
        <f t="shared" si="51"/>
        <v>Q1</v>
      </c>
      <c r="T551" s="3" t="str">
        <f t="shared" si="52"/>
        <v>Monitor</v>
      </c>
    </row>
    <row r="552" spans="1:20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53"/>
        <v>915.64</v>
      </c>
      <c r="P552" t="str">
        <f t="shared" si="48"/>
        <v>Correct</v>
      </c>
      <c r="Q552" t="str">
        <f t="shared" si="49"/>
        <v>October</v>
      </c>
      <c r="R552" s="3">
        <f t="shared" si="50"/>
        <v>2023</v>
      </c>
      <c r="S552" s="3" t="str">
        <f t="shared" si="51"/>
        <v>Q4</v>
      </c>
      <c r="T552" s="3" t="str">
        <f t="shared" si="52"/>
        <v>Laptop</v>
      </c>
    </row>
    <row r="553" spans="1:20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53"/>
        <v>120.98</v>
      </c>
      <c r="P553" t="str">
        <f t="shared" si="48"/>
        <v>Correct</v>
      </c>
      <c r="Q553" t="str">
        <f t="shared" si="49"/>
        <v>May</v>
      </c>
      <c r="R553" s="3">
        <f t="shared" si="50"/>
        <v>2023</v>
      </c>
      <c r="S553" s="3" t="str">
        <f t="shared" si="51"/>
        <v>Q2</v>
      </c>
      <c r="T553" s="3" t="str">
        <f t="shared" si="52"/>
        <v>Laptop</v>
      </c>
    </row>
    <row r="554" spans="1:20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53"/>
        <v>1700.72</v>
      </c>
      <c r="P554" t="str">
        <f t="shared" si="48"/>
        <v>Correct</v>
      </c>
      <c r="Q554" t="str">
        <f t="shared" si="49"/>
        <v>September</v>
      </c>
      <c r="R554" s="3">
        <f t="shared" si="50"/>
        <v>2023</v>
      </c>
      <c r="S554" s="3" t="str">
        <f t="shared" si="51"/>
        <v>Q3</v>
      </c>
      <c r="T554" s="3" t="str">
        <f t="shared" si="52"/>
        <v>Chair</v>
      </c>
    </row>
    <row r="555" spans="1:20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53"/>
        <v>667.66</v>
      </c>
      <c r="P555" t="str">
        <f t="shared" si="48"/>
        <v>Correct</v>
      </c>
      <c r="Q555" t="str">
        <f t="shared" si="49"/>
        <v>August</v>
      </c>
      <c r="R555" s="3">
        <f t="shared" si="50"/>
        <v>2023</v>
      </c>
      <c r="S555" s="3" t="str">
        <f t="shared" si="51"/>
        <v>Q3</v>
      </c>
      <c r="T555" s="3" t="str">
        <f t="shared" si="52"/>
        <v>Phone</v>
      </c>
    </row>
    <row r="556" spans="1:20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53"/>
        <v>985.8</v>
      </c>
      <c r="P556" t="str">
        <f t="shared" si="48"/>
        <v>Correct</v>
      </c>
      <c r="Q556" t="str">
        <f t="shared" si="49"/>
        <v>May</v>
      </c>
      <c r="R556" s="3">
        <f t="shared" si="50"/>
        <v>2025</v>
      </c>
      <c r="S556" s="3" t="str">
        <f t="shared" si="51"/>
        <v>Q2</v>
      </c>
      <c r="T556" s="3" t="str">
        <f t="shared" si="52"/>
        <v>Laptop</v>
      </c>
    </row>
    <row r="557" spans="1:20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53"/>
        <v>92.04</v>
      </c>
      <c r="P557" t="str">
        <f t="shared" si="48"/>
        <v>Correct</v>
      </c>
      <c r="Q557" t="str">
        <f t="shared" si="49"/>
        <v>January</v>
      </c>
      <c r="R557" s="3">
        <f t="shared" si="50"/>
        <v>2023</v>
      </c>
      <c r="S557" s="3" t="str">
        <f t="shared" si="51"/>
        <v>Q1</v>
      </c>
      <c r="T557" s="3" t="str">
        <f t="shared" si="52"/>
        <v>Tablet</v>
      </c>
    </row>
    <row r="558" spans="1:20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53"/>
        <v>654.27</v>
      </c>
      <c r="P558" t="str">
        <f t="shared" si="48"/>
        <v>Correct</v>
      </c>
      <c r="Q558" t="str">
        <f t="shared" si="49"/>
        <v>January</v>
      </c>
      <c r="R558" s="3">
        <f t="shared" si="50"/>
        <v>2023</v>
      </c>
      <c r="S558" s="3" t="str">
        <f t="shared" si="51"/>
        <v>Q1</v>
      </c>
      <c r="T558" s="3" t="str">
        <f t="shared" si="52"/>
        <v>Laptop</v>
      </c>
    </row>
    <row r="559" spans="1:20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53"/>
        <v>56.2</v>
      </c>
      <c r="P559" t="str">
        <f t="shared" si="48"/>
        <v>Correct</v>
      </c>
      <c r="Q559" t="str">
        <f t="shared" si="49"/>
        <v>June</v>
      </c>
      <c r="R559" s="3">
        <f t="shared" si="50"/>
        <v>2023</v>
      </c>
      <c r="S559" s="3" t="str">
        <f t="shared" si="51"/>
        <v>Q2</v>
      </c>
      <c r="T559" s="3" t="str">
        <f t="shared" si="52"/>
        <v>Tablet</v>
      </c>
    </row>
    <row r="560" spans="1:20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53"/>
        <v>2512.48</v>
      </c>
      <c r="P560" t="str">
        <f t="shared" si="48"/>
        <v>Correct</v>
      </c>
      <c r="Q560" t="str">
        <f t="shared" si="49"/>
        <v>July</v>
      </c>
      <c r="R560" s="3">
        <f t="shared" si="50"/>
        <v>2024</v>
      </c>
      <c r="S560" s="3" t="str">
        <f t="shared" si="51"/>
        <v>Q3</v>
      </c>
      <c r="T560" s="3" t="str">
        <f t="shared" si="52"/>
        <v>Phone</v>
      </c>
    </row>
    <row r="561" spans="1:20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53"/>
        <v>472.20000000000005</v>
      </c>
      <c r="P561" t="str">
        <f t="shared" si="48"/>
        <v>Correct</v>
      </c>
      <c r="Q561" t="str">
        <f t="shared" si="49"/>
        <v>April</v>
      </c>
      <c r="R561" s="3">
        <f t="shared" si="50"/>
        <v>2024</v>
      </c>
      <c r="S561" s="3" t="str">
        <f t="shared" si="51"/>
        <v>Q2</v>
      </c>
      <c r="T561" s="3" t="str">
        <f t="shared" si="52"/>
        <v>Desk</v>
      </c>
    </row>
    <row r="562" spans="1:20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53"/>
        <v>2355.4</v>
      </c>
      <c r="P562" t="str">
        <f t="shared" si="48"/>
        <v>Correct</v>
      </c>
      <c r="Q562" t="str">
        <f t="shared" si="49"/>
        <v>January</v>
      </c>
      <c r="R562" s="3">
        <f t="shared" si="50"/>
        <v>2023</v>
      </c>
      <c r="S562" s="3" t="str">
        <f t="shared" si="51"/>
        <v>Q1</v>
      </c>
      <c r="T562" s="3" t="str">
        <f t="shared" si="52"/>
        <v>Monitor</v>
      </c>
    </row>
    <row r="563" spans="1:20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53"/>
        <v>989.56</v>
      </c>
      <c r="P563" t="str">
        <f t="shared" si="48"/>
        <v>Correct</v>
      </c>
      <c r="Q563" t="str">
        <f t="shared" si="49"/>
        <v>January</v>
      </c>
      <c r="R563" s="3">
        <f t="shared" si="50"/>
        <v>2023</v>
      </c>
      <c r="S563" s="3" t="str">
        <f t="shared" si="51"/>
        <v>Q1</v>
      </c>
      <c r="T563" s="3" t="str">
        <f t="shared" si="52"/>
        <v>Printer</v>
      </c>
    </row>
    <row r="564" spans="1:20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53"/>
        <v>1991.79</v>
      </c>
      <c r="P564" t="str">
        <f t="shared" si="48"/>
        <v>Correct</v>
      </c>
      <c r="Q564" t="str">
        <f t="shared" si="49"/>
        <v>October</v>
      </c>
      <c r="R564" s="3">
        <f t="shared" si="50"/>
        <v>2023</v>
      </c>
      <c r="S564" s="3" t="str">
        <f t="shared" si="51"/>
        <v>Q4</v>
      </c>
      <c r="T564" s="3" t="str">
        <f t="shared" si="52"/>
        <v>Laptop</v>
      </c>
    </row>
    <row r="565" spans="1:20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53"/>
        <v>132.68</v>
      </c>
      <c r="P565" t="str">
        <f t="shared" si="48"/>
        <v>Correct</v>
      </c>
      <c r="Q565" t="str">
        <f t="shared" si="49"/>
        <v>December</v>
      </c>
      <c r="R565" s="3">
        <f t="shared" si="50"/>
        <v>2023</v>
      </c>
      <c r="S565" s="3" t="str">
        <f t="shared" si="51"/>
        <v>Q4</v>
      </c>
      <c r="T565" s="3" t="str">
        <f t="shared" si="52"/>
        <v>Laptop</v>
      </c>
    </row>
    <row r="566" spans="1:20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53"/>
        <v>1821.3999999999999</v>
      </c>
      <c r="P566" t="str">
        <f t="shared" si="48"/>
        <v>Correct</v>
      </c>
      <c r="Q566" t="str">
        <f t="shared" si="49"/>
        <v>April</v>
      </c>
      <c r="R566" s="3">
        <f t="shared" si="50"/>
        <v>2025</v>
      </c>
      <c r="S566" s="3" t="str">
        <f t="shared" si="51"/>
        <v>Q2</v>
      </c>
      <c r="T566" s="3" t="str">
        <f t="shared" si="52"/>
        <v>Desk</v>
      </c>
    </row>
    <row r="567" spans="1:20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53"/>
        <v>1539.9</v>
      </c>
      <c r="P567" t="str">
        <f t="shared" si="48"/>
        <v>Correct</v>
      </c>
      <c r="Q567" t="str">
        <f t="shared" si="49"/>
        <v>May</v>
      </c>
      <c r="R567" s="3">
        <f t="shared" si="50"/>
        <v>2023</v>
      </c>
      <c r="S567" s="3" t="str">
        <f t="shared" si="51"/>
        <v>Q2</v>
      </c>
      <c r="T567" s="3" t="str">
        <f t="shared" si="52"/>
        <v>Tablet</v>
      </c>
    </row>
    <row r="568" spans="1:20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53"/>
        <v>650.84</v>
      </c>
      <c r="P568" t="str">
        <f t="shared" si="48"/>
        <v>Correct</v>
      </c>
      <c r="Q568" t="str">
        <f t="shared" si="49"/>
        <v>April</v>
      </c>
      <c r="R568" s="3">
        <f t="shared" si="50"/>
        <v>2024</v>
      </c>
      <c r="S568" s="3" t="str">
        <f t="shared" si="51"/>
        <v>Q2</v>
      </c>
      <c r="T568" s="3" t="str">
        <f t="shared" si="52"/>
        <v>Phone</v>
      </c>
    </row>
    <row r="569" spans="1:20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53"/>
        <v>2464.6999999999998</v>
      </c>
      <c r="P569" t="str">
        <f t="shared" si="48"/>
        <v>Correct</v>
      </c>
      <c r="Q569" t="str">
        <f t="shared" si="49"/>
        <v>September</v>
      </c>
      <c r="R569" s="3">
        <f t="shared" si="50"/>
        <v>2024</v>
      </c>
      <c r="S569" s="3" t="str">
        <f t="shared" si="51"/>
        <v>Q3</v>
      </c>
      <c r="T569" s="3" t="str">
        <f t="shared" si="52"/>
        <v>Chair</v>
      </c>
    </row>
    <row r="570" spans="1:20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53"/>
        <v>687.98</v>
      </c>
      <c r="P570" t="str">
        <f t="shared" si="48"/>
        <v>Correct</v>
      </c>
      <c r="Q570" t="str">
        <f t="shared" si="49"/>
        <v>March</v>
      </c>
      <c r="R570" s="3">
        <f t="shared" si="50"/>
        <v>2023</v>
      </c>
      <c r="S570" s="3" t="str">
        <f t="shared" si="51"/>
        <v>Q1</v>
      </c>
      <c r="T570" s="3" t="str">
        <f t="shared" si="52"/>
        <v>Laptop</v>
      </c>
    </row>
    <row r="571" spans="1:20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53"/>
        <v>1253.4000000000001</v>
      </c>
      <c r="P571" t="str">
        <f t="shared" si="48"/>
        <v>Correct</v>
      </c>
      <c r="Q571" t="str">
        <f t="shared" si="49"/>
        <v>March</v>
      </c>
      <c r="R571" s="3">
        <f t="shared" si="50"/>
        <v>2025</v>
      </c>
      <c r="S571" s="3" t="str">
        <f t="shared" si="51"/>
        <v>Q1</v>
      </c>
      <c r="T571" s="3" t="str">
        <f t="shared" si="52"/>
        <v>Desk</v>
      </c>
    </row>
    <row r="572" spans="1:20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53"/>
        <v>724.28</v>
      </c>
      <c r="P572" t="str">
        <f t="shared" si="48"/>
        <v>Correct</v>
      </c>
      <c r="Q572" t="str">
        <f t="shared" si="49"/>
        <v>December</v>
      </c>
      <c r="R572" s="3">
        <f t="shared" si="50"/>
        <v>2024</v>
      </c>
      <c r="S572" s="3" t="str">
        <f t="shared" si="51"/>
        <v>Q4</v>
      </c>
      <c r="T572" s="3" t="str">
        <f t="shared" si="52"/>
        <v>Desk</v>
      </c>
    </row>
    <row r="573" spans="1:20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53"/>
        <v>214.08</v>
      </c>
      <c r="P573" t="str">
        <f t="shared" si="48"/>
        <v>Correct</v>
      </c>
      <c r="Q573" t="str">
        <f t="shared" si="49"/>
        <v>November</v>
      </c>
      <c r="R573" s="3">
        <f t="shared" si="50"/>
        <v>2024</v>
      </c>
      <c r="S573" s="3" t="str">
        <f t="shared" si="51"/>
        <v>Q4</v>
      </c>
      <c r="T573" s="3" t="str">
        <f t="shared" si="52"/>
        <v>Tablet</v>
      </c>
    </row>
    <row r="574" spans="1:20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53"/>
        <v>70.319999999999993</v>
      </c>
      <c r="P574" t="str">
        <f t="shared" si="48"/>
        <v>Correct</v>
      </c>
      <c r="Q574" t="str">
        <f t="shared" si="49"/>
        <v>November</v>
      </c>
      <c r="R574" s="3">
        <f t="shared" si="50"/>
        <v>2023</v>
      </c>
      <c r="S574" s="3" t="str">
        <f t="shared" si="51"/>
        <v>Q4</v>
      </c>
      <c r="T574" s="3" t="str">
        <f t="shared" si="52"/>
        <v>Printer</v>
      </c>
    </row>
    <row r="575" spans="1:20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53"/>
        <v>2107.1</v>
      </c>
      <c r="P575" t="str">
        <f t="shared" si="48"/>
        <v>Correct</v>
      </c>
      <c r="Q575" t="str">
        <f t="shared" si="49"/>
        <v>January</v>
      </c>
      <c r="R575" s="3">
        <f t="shared" si="50"/>
        <v>2023</v>
      </c>
      <c r="S575" s="3" t="str">
        <f t="shared" si="51"/>
        <v>Q1</v>
      </c>
      <c r="T575" s="3" t="str">
        <f t="shared" si="52"/>
        <v>Chair</v>
      </c>
    </row>
    <row r="576" spans="1:20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53"/>
        <v>1923.45</v>
      </c>
      <c r="P576" t="str">
        <f t="shared" si="48"/>
        <v>Correct</v>
      </c>
      <c r="Q576" t="str">
        <f t="shared" si="49"/>
        <v>January</v>
      </c>
      <c r="R576" s="3">
        <f t="shared" si="50"/>
        <v>2024</v>
      </c>
      <c r="S576" s="3" t="str">
        <f t="shared" si="51"/>
        <v>Q1</v>
      </c>
      <c r="T576" s="3" t="str">
        <f t="shared" si="52"/>
        <v>Chair</v>
      </c>
    </row>
    <row r="577" spans="1:20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53"/>
        <v>2240.75</v>
      </c>
      <c r="P577" t="str">
        <f t="shared" si="48"/>
        <v>Correct</v>
      </c>
      <c r="Q577" t="str">
        <f t="shared" si="49"/>
        <v>June</v>
      </c>
      <c r="R577" s="3">
        <f t="shared" si="50"/>
        <v>2023</v>
      </c>
      <c r="S577" s="3" t="str">
        <f t="shared" si="51"/>
        <v>Q2</v>
      </c>
      <c r="T577" s="3" t="str">
        <f t="shared" si="52"/>
        <v>Chair</v>
      </c>
    </row>
    <row r="578" spans="1:20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53"/>
        <v>395.4</v>
      </c>
      <c r="P578" t="str">
        <f t="shared" ref="P578:P641" si="54">IF(O578=N578,"Correct","Error")</f>
        <v>Correct</v>
      </c>
      <c r="Q578" t="str">
        <f t="shared" ref="Q578:Q641" si="55">TEXT(B578,"MMMM")</f>
        <v>May</v>
      </c>
      <c r="R578" s="3">
        <f t="shared" ref="R578:R641" si="56">YEAR(B578)</f>
        <v>2024</v>
      </c>
      <c r="S578" s="3" t="str">
        <f t="shared" ref="S578:S641" si="57">"Q"&amp;ROUNDUP(MONTH(B578)/3,0)</f>
        <v>Q2</v>
      </c>
      <c r="T578" s="3" t="str">
        <f t="shared" ref="T578:T641" si="58">TRIM(D578)</f>
        <v>Laptop</v>
      </c>
    </row>
    <row r="579" spans="1:20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59">E579*F579</f>
        <v>741.64</v>
      </c>
      <c r="P579" t="str">
        <f t="shared" si="54"/>
        <v>Correct</v>
      </c>
      <c r="Q579" t="str">
        <f t="shared" si="55"/>
        <v>January</v>
      </c>
      <c r="R579" s="3">
        <f t="shared" si="56"/>
        <v>2023</v>
      </c>
      <c r="S579" s="3" t="str">
        <f t="shared" si="57"/>
        <v>Q1</v>
      </c>
      <c r="T579" s="3" t="str">
        <f t="shared" si="58"/>
        <v>Tablet</v>
      </c>
    </row>
    <row r="580" spans="1:20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59"/>
        <v>2830.3500000000004</v>
      </c>
      <c r="P580" t="str">
        <f t="shared" si="54"/>
        <v>Correct</v>
      </c>
      <c r="Q580" t="str">
        <f t="shared" si="55"/>
        <v>October</v>
      </c>
      <c r="R580" s="3">
        <f t="shared" si="56"/>
        <v>2024</v>
      </c>
      <c r="S580" s="3" t="str">
        <f t="shared" si="57"/>
        <v>Q4</v>
      </c>
      <c r="T580" s="3" t="str">
        <f t="shared" si="58"/>
        <v>Monitor</v>
      </c>
    </row>
    <row r="581" spans="1:20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59"/>
        <v>375.76</v>
      </c>
      <c r="P581" t="str">
        <f t="shared" si="54"/>
        <v>Correct</v>
      </c>
      <c r="Q581" t="str">
        <f t="shared" si="55"/>
        <v>June</v>
      </c>
      <c r="R581" s="3">
        <f t="shared" si="56"/>
        <v>2023</v>
      </c>
      <c r="S581" s="3" t="str">
        <f t="shared" si="57"/>
        <v>Q2</v>
      </c>
      <c r="T581" s="3" t="str">
        <f t="shared" si="58"/>
        <v>Tablet</v>
      </c>
    </row>
    <row r="582" spans="1:20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59"/>
        <v>511.98</v>
      </c>
      <c r="P582" t="str">
        <f t="shared" si="54"/>
        <v>Correct</v>
      </c>
      <c r="Q582" t="str">
        <f t="shared" si="55"/>
        <v>November</v>
      </c>
      <c r="R582" s="3">
        <f t="shared" si="56"/>
        <v>2023</v>
      </c>
      <c r="S582" s="3" t="str">
        <f t="shared" si="57"/>
        <v>Q4</v>
      </c>
      <c r="T582" s="3" t="str">
        <f t="shared" si="58"/>
        <v>Monitor</v>
      </c>
    </row>
    <row r="583" spans="1:20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59"/>
        <v>627.34</v>
      </c>
      <c r="P583" t="str">
        <f t="shared" si="54"/>
        <v>Correct</v>
      </c>
      <c r="Q583" t="str">
        <f t="shared" si="55"/>
        <v>November</v>
      </c>
      <c r="R583" s="3">
        <f t="shared" si="56"/>
        <v>2024</v>
      </c>
      <c r="S583" s="3" t="str">
        <f t="shared" si="57"/>
        <v>Q4</v>
      </c>
      <c r="T583" s="3" t="str">
        <f t="shared" si="58"/>
        <v>Laptop</v>
      </c>
    </row>
    <row r="584" spans="1:20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4283</v>
      </c>
      <c r="M584" t="s">
        <v>4282</v>
      </c>
      <c r="N584">
        <v>1422.42</v>
      </c>
      <c r="O584">
        <f t="shared" si="59"/>
        <v>1422.42</v>
      </c>
      <c r="P584" t="str">
        <f t="shared" si="54"/>
        <v>Correct</v>
      </c>
      <c r="Q584" t="str">
        <f t="shared" si="55"/>
        <v>February</v>
      </c>
      <c r="R584" s="3">
        <f t="shared" si="56"/>
        <v>2024</v>
      </c>
      <c r="S584" s="3" t="str">
        <f t="shared" si="57"/>
        <v>Q1</v>
      </c>
      <c r="T584" s="3" t="str">
        <f t="shared" si="58"/>
        <v>Tablet</v>
      </c>
    </row>
    <row r="585" spans="1:20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59"/>
        <v>463.11</v>
      </c>
      <c r="P585" t="str">
        <f t="shared" si="54"/>
        <v>Correct</v>
      </c>
      <c r="Q585" t="str">
        <f t="shared" si="55"/>
        <v>June</v>
      </c>
      <c r="R585" s="3">
        <f t="shared" si="56"/>
        <v>2025</v>
      </c>
      <c r="S585" s="3" t="str">
        <f t="shared" si="57"/>
        <v>Q2</v>
      </c>
      <c r="T585" s="3" t="str">
        <f t="shared" si="58"/>
        <v>Chair</v>
      </c>
    </row>
    <row r="586" spans="1:20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59"/>
        <v>580.20000000000005</v>
      </c>
      <c r="P586" t="str">
        <f t="shared" si="54"/>
        <v>Correct</v>
      </c>
      <c r="Q586" t="str">
        <f t="shared" si="55"/>
        <v>March</v>
      </c>
      <c r="R586" s="3">
        <f t="shared" si="56"/>
        <v>2025</v>
      </c>
      <c r="S586" s="3" t="str">
        <f t="shared" si="57"/>
        <v>Q1</v>
      </c>
      <c r="T586" s="3" t="str">
        <f t="shared" si="58"/>
        <v>Chair</v>
      </c>
    </row>
    <row r="587" spans="1:20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59"/>
        <v>268.32</v>
      </c>
      <c r="P587" t="str">
        <f t="shared" si="54"/>
        <v>Correct</v>
      </c>
      <c r="Q587" t="str">
        <f t="shared" si="55"/>
        <v>August</v>
      </c>
      <c r="R587" s="3">
        <f t="shared" si="56"/>
        <v>2023</v>
      </c>
      <c r="S587" s="3" t="str">
        <f t="shared" si="57"/>
        <v>Q3</v>
      </c>
      <c r="T587" s="3" t="str">
        <f t="shared" si="58"/>
        <v>Tablet</v>
      </c>
    </row>
    <row r="588" spans="1:20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59"/>
        <v>522.08000000000004</v>
      </c>
      <c r="P588" t="str">
        <f t="shared" si="54"/>
        <v>Correct</v>
      </c>
      <c r="Q588" t="str">
        <f t="shared" si="55"/>
        <v>November</v>
      </c>
      <c r="R588" s="3">
        <f t="shared" si="56"/>
        <v>2024</v>
      </c>
      <c r="S588" s="3" t="str">
        <f t="shared" si="57"/>
        <v>Q4</v>
      </c>
      <c r="T588" s="3" t="str">
        <f t="shared" si="58"/>
        <v>Monitor</v>
      </c>
    </row>
    <row r="589" spans="1:20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59"/>
        <v>2573</v>
      </c>
      <c r="P589" t="str">
        <f t="shared" si="54"/>
        <v>Correct</v>
      </c>
      <c r="Q589" t="str">
        <f t="shared" si="55"/>
        <v>June</v>
      </c>
      <c r="R589" s="3">
        <f t="shared" si="56"/>
        <v>2023</v>
      </c>
      <c r="S589" s="3" t="str">
        <f t="shared" si="57"/>
        <v>Q2</v>
      </c>
      <c r="T589" s="3" t="str">
        <f t="shared" si="58"/>
        <v>Monitor</v>
      </c>
    </row>
    <row r="590" spans="1:20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59"/>
        <v>2311.2800000000002</v>
      </c>
      <c r="P590" t="str">
        <f t="shared" si="54"/>
        <v>Correct</v>
      </c>
      <c r="Q590" t="str">
        <f t="shared" si="55"/>
        <v>December</v>
      </c>
      <c r="R590" s="3">
        <f t="shared" si="56"/>
        <v>2024</v>
      </c>
      <c r="S590" s="3" t="str">
        <f t="shared" si="57"/>
        <v>Q4</v>
      </c>
      <c r="T590" s="3" t="str">
        <f t="shared" si="58"/>
        <v>Monitor</v>
      </c>
    </row>
    <row r="591" spans="1:20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59"/>
        <v>1001.6</v>
      </c>
      <c r="P591" t="str">
        <f t="shared" si="54"/>
        <v>Correct</v>
      </c>
      <c r="Q591" t="str">
        <f t="shared" si="55"/>
        <v>February</v>
      </c>
      <c r="R591" s="3">
        <f t="shared" si="56"/>
        <v>2025</v>
      </c>
      <c r="S591" s="3" t="str">
        <f t="shared" si="57"/>
        <v>Q1</v>
      </c>
      <c r="T591" s="3" t="str">
        <f t="shared" si="58"/>
        <v>Laptop</v>
      </c>
    </row>
    <row r="592" spans="1:20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59"/>
        <v>922.26</v>
      </c>
      <c r="P592" t="str">
        <f t="shared" si="54"/>
        <v>Correct</v>
      </c>
      <c r="Q592" t="str">
        <f t="shared" si="55"/>
        <v>September</v>
      </c>
      <c r="R592" s="3">
        <f t="shared" si="56"/>
        <v>2023</v>
      </c>
      <c r="S592" s="3" t="str">
        <f t="shared" si="57"/>
        <v>Q3</v>
      </c>
      <c r="T592" s="3" t="str">
        <f t="shared" si="58"/>
        <v>Printer</v>
      </c>
    </row>
    <row r="593" spans="1:20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59"/>
        <v>605.28</v>
      </c>
      <c r="P593" t="str">
        <f t="shared" si="54"/>
        <v>Correct</v>
      </c>
      <c r="Q593" t="str">
        <f t="shared" si="55"/>
        <v>November</v>
      </c>
      <c r="R593" s="3">
        <f t="shared" si="56"/>
        <v>2024</v>
      </c>
      <c r="S593" s="3" t="str">
        <f t="shared" si="57"/>
        <v>Q4</v>
      </c>
      <c r="T593" s="3" t="str">
        <f t="shared" si="58"/>
        <v>Laptop</v>
      </c>
    </row>
    <row r="594" spans="1:20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59"/>
        <v>612.81000000000006</v>
      </c>
      <c r="P594" t="str">
        <f t="shared" si="54"/>
        <v>Correct</v>
      </c>
      <c r="Q594" t="str">
        <f t="shared" si="55"/>
        <v>April</v>
      </c>
      <c r="R594" s="3">
        <f t="shared" si="56"/>
        <v>2024</v>
      </c>
      <c r="S594" s="3" t="str">
        <f t="shared" si="57"/>
        <v>Q2</v>
      </c>
      <c r="T594" s="3" t="str">
        <f t="shared" si="58"/>
        <v>Phone</v>
      </c>
    </row>
    <row r="595" spans="1:20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59"/>
        <v>489.8</v>
      </c>
      <c r="P595" t="str">
        <f t="shared" si="54"/>
        <v>Correct</v>
      </c>
      <c r="Q595" t="str">
        <f t="shared" si="55"/>
        <v>August</v>
      </c>
      <c r="R595" s="3">
        <f t="shared" si="56"/>
        <v>2023</v>
      </c>
      <c r="S595" s="3" t="str">
        <f t="shared" si="57"/>
        <v>Q3</v>
      </c>
      <c r="T595" s="3" t="str">
        <f t="shared" si="58"/>
        <v>Monitor</v>
      </c>
    </row>
    <row r="596" spans="1:20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59"/>
        <v>363.2</v>
      </c>
      <c r="P596" t="str">
        <f t="shared" si="54"/>
        <v>Correct</v>
      </c>
      <c r="Q596" t="str">
        <f t="shared" si="55"/>
        <v>February</v>
      </c>
      <c r="R596" s="3">
        <f t="shared" si="56"/>
        <v>2024</v>
      </c>
      <c r="S596" s="3" t="str">
        <f t="shared" si="57"/>
        <v>Q1</v>
      </c>
      <c r="T596" s="3" t="str">
        <f t="shared" si="58"/>
        <v>Phone</v>
      </c>
    </row>
    <row r="597" spans="1:20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59"/>
        <v>770.32</v>
      </c>
      <c r="P597" t="str">
        <f t="shared" si="54"/>
        <v>Correct</v>
      </c>
      <c r="Q597" t="str">
        <f t="shared" si="55"/>
        <v>January</v>
      </c>
      <c r="R597" s="3">
        <f t="shared" si="56"/>
        <v>2025</v>
      </c>
      <c r="S597" s="3" t="str">
        <f t="shared" si="57"/>
        <v>Q1</v>
      </c>
      <c r="T597" s="3" t="str">
        <f t="shared" si="58"/>
        <v>Printer</v>
      </c>
    </row>
    <row r="598" spans="1:20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59"/>
        <v>1819.23</v>
      </c>
      <c r="P598" t="str">
        <f t="shared" si="54"/>
        <v>Correct</v>
      </c>
      <c r="Q598" t="str">
        <f t="shared" si="55"/>
        <v>June</v>
      </c>
      <c r="R598" s="3">
        <f t="shared" si="56"/>
        <v>2023</v>
      </c>
      <c r="S598" s="3" t="str">
        <f t="shared" si="57"/>
        <v>Q2</v>
      </c>
      <c r="T598" s="3" t="str">
        <f t="shared" si="58"/>
        <v>Desk</v>
      </c>
    </row>
    <row r="599" spans="1:20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59"/>
        <v>423.64</v>
      </c>
      <c r="P599" t="str">
        <f t="shared" si="54"/>
        <v>Correct</v>
      </c>
      <c r="Q599" t="str">
        <f t="shared" si="55"/>
        <v>November</v>
      </c>
      <c r="R599" s="3">
        <f t="shared" si="56"/>
        <v>2024</v>
      </c>
      <c r="S599" s="3" t="str">
        <f t="shared" si="57"/>
        <v>Q4</v>
      </c>
      <c r="T599" s="3" t="str">
        <f t="shared" si="58"/>
        <v>Desk</v>
      </c>
    </row>
    <row r="600" spans="1:20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59"/>
        <v>2476.75</v>
      </c>
      <c r="P600" t="str">
        <f t="shared" si="54"/>
        <v>Correct</v>
      </c>
      <c r="Q600" t="str">
        <f t="shared" si="55"/>
        <v>April</v>
      </c>
      <c r="R600" s="3">
        <f t="shared" si="56"/>
        <v>2024</v>
      </c>
      <c r="S600" s="3" t="str">
        <f t="shared" si="57"/>
        <v>Q2</v>
      </c>
      <c r="T600" s="3" t="str">
        <f t="shared" si="58"/>
        <v>Desk</v>
      </c>
    </row>
    <row r="601" spans="1:20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59"/>
        <v>1670.97</v>
      </c>
      <c r="P601" t="str">
        <f t="shared" si="54"/>
        <v>Correct</v>
      </c>
      <c r="Q601" t="str">
        <f t="shared" si="55"/>
        <v>June</v>
      </c>
      <c r="R601" s="3">
        <f t="shared" si="56"/>
        <v>2023</v>
      </c>
      <c r="S601" s="3" t="str">
        <f t="shared" si="57"/>
        <v>Q2</v>
      </c>
      <c r="T601" s="3" t="str">
        <f t="shared" si="58"/>
        <v>Chair</v>
      </c>
    </row>
    <row r="602" spans="1:20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59"/>
        <v>72.31</v>
      </c>
      <c r="P602" t="str">
        <f t="shared" si="54"/>
        <v>Correct</v>
      </c>
      <c r="Q602" t="str">
        <f t="shared" si="55"/>
        <v>May</v>
      </c>
      <c r="R602" s="3">
        <f t="shared" si="56"/>
        <v>2023</v>
      </c>
      <c r="S602" s="3" t="str">
        <f t="shared" si="57"/>
        <v>Q2</v>
      </c>
      <c r="T602" s="3" t="str">
        <f t="shared" si="58"/>
        <v>Printer</v>
      </c>
    </row>
    <row r="603" spans="1:20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59"/>
        <v>124.1</v>
      </c>
      <c r="P603" t="str">
        <f t="shared" si="54"/>
        <v>Correct</v>
      </c>
      <c r="Q603" t="str">
        <f t="shared" si="55"/>
        <v>October</v>
      </c>
      <c r="R603" s="3">
        <f t="shared" si="56"/>
        <v>2023</v>
      </c>
      <c r="S603" s="3" t="str">
        <f t="shared" si="57"/>
        <v>Q4</v>
      </c>
      <c r="T603" s="3" t="str">
        <f t="shared" si="58"/>
        <v>Monitor</v>
      </c>
    </row>
    <row r="604" spans="1:20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59"/>
        <v>104.16</v>
      </c>
      <c r="P604" t="str">
        <f t="shared" si="54"/>
        <v>Correct</v>
      </c>
      <c r="Q604" t="str">
        <f t="shared" si="55"/>
        <v>March</v>
      </c>
      <c r="R604" s="3">
        <f t="shared" si="56"/>
        <v>2024</v>
      </c>
      <c r="S604" s="3" t="str">
        <f t="shared" si="57"/>
        <v>Q1</v>
      </c>
      <c r="T604" s="3" t="str">
        <f t="shared" si="58"/>
        <v>Tablet</v>
      </c>
    </row>
    <row r="605" spans="1:20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59"/>
        <v>657.07</v>
      </c>
      <c r="P605" t="str">
        <f t="shared" si="54"/>
        <v>Correct</v>
      </c>
      <c r="Q605" t="str">
        <f t="shared" si="55"/>
        <v>October</v>
      </c>
      <c r="R605" s="3">
        <f t="shared" si="56"/>
        <v>2024</v>
      </c>
      <c r="S605" s="3" t="str">
        <f t="shared" si="57"/>
        <v>Q4</v>
      </c>
      <c r="T605" s="3" t="str">
        <f t="shared" si="58"/>
        <v>Tablet</v>
      </c>
    </row>
    <row r="606" spans="1:20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59"/>
        <v>97.859999999999985</v>
      </c>
      <c r="P606" t="str">
        <f t="shared" si="54"/>
        <v>Correct</v>
      </c>
      <c r="Q606" t="str">
        <f t="shared" si="55"/>
        <v>June</v>
      </c>
      <c r="R606" s="3">
        <f t="shared" si="56"/>
        <v>2025</v>
      </c>
      <c r="S606" s="3" t="str">
        <f t="shared" si="57"/>
        <v>Q2</v>
      </c>
      <c r="T606" s="3" t="str">
        <f t="shared" si="58"/>
        <v>Chair</v>
      </c>
    </row>
    <row r="607" spans="1:20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59"/>
        <v>457.82</v>
      </c>
      <c r="P607" t="str">
        <f t="shared" si="54"/>
        <v>Correct</v>
      </c>
      <c r="Q607" t="str">
        <f t="shared" si="55"/>
        <v>May</v>
      </c>
      <c r="R607" s="3">
        <f t="shared" si="56"/>
        <v>2024</v>
      </c>
      <c r="S607" s="3" t="str">
        <f t="shared" si="57"/>
        <v>Q2</v>
      </c>
      <c r="T607" s="3" t="str">
        <f t="shared" si="58"/>
        <v>Monitor</v>
      </c>
    </row>
    <row r="608" spans="1:20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59"/>
        <v>824.25</v>
      </c>
      <c r="P608" t="str">
        <f t="shared" si="54"/>
        <v>Correct</v>
      </c>
      <c r="Q608" t="str">
        <f t="shared" si="55"/>
        <v>November</v>
      </c>
      <c r="R608" s="3">
        <f t="shared" si="56"/>
        <v>2024</v>
      </c>
      <c r="S608" s="3" t="str">
        <f t="shared" si="57"/>
        <v>Q4</v>
      </c>
      <c r="T608" s="3" t="str">
        <f t="shared" si="58"/>
        <v>Laptop</v>
      </c>
    </row>
    <row r="609" spans="1:20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59"/>
        <v>2536.1999999999998</v>
      </c>
      <c r="P609" t="str">
        <f t="shared" si="54"/>
        <v>Correct</v>
      </c>
      <c r="Q609" t="str">
        <f t="shared" si="55"/>
        <v>May</v>
      </c>
      <c r="R609" s="3">
        <f t="shared" si="56"/>
        <v>2025</v>
      </c>
      <c r="S609" s="3" t="str">
        <f t="shared" si="57"/>
        <v>Q2</v>
      </c>
      <c r="T609" s="3" t="str">
        <f t="shared" si="58"/>
        <v>Printer</v>
      </c>
    </row>
    <row r="610" spans="1:20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59"/>
        <v>2715.7999999999997</v>
      </c>
      <c r="P610" t="str">
        <f t="shared" si="54"/>
        <v>Correct</v>
      </c>
      <c r="Q610" t="str">
        <f t="shared" si="55"/>
        <v>July</v>
      </c>
      <c r="R610" s="3">
        <f t="shared" si="56"/>
        <v>2024</v>
      </c>
      <c r="S610" s="3" t="str">
        <f t="shared" si="57"/>
        <v>Q3</v>
      </c>
      <c r="T610" s="3" t="str">
        <f t="shared" si="58"/>
        <v>Laptop</v>
      </c>
    </row>
    <row r="611" spans="1:20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59"/>
        <v>1347.3899999999999</v>
      </c>
      <c r="P611" t="str">
        <f t="shared" si="54"/>
        <v>Correct</v>
      </c>
      <c r="Q611" t="str">
        <f t="shared" si="55"/>
        <v>January</v>
      </c>
      <c r="R611" s="3">
        <f t="shared" si="56"/>
        <v>2025</v>
      </c>
      <c r="S611" s="3" t="str">
        <f t="shared" si="57"/>
        <v>Q1</v>
      </c>
      <c r="T611" s="3" t="str">
        <f t="shared" si="58"/>
        <v>Chair</v>
      </c>
    </row>
    <row r="612" spans="1:20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59"/>
        <v>1948.1</v>
      </c>
      <c r="P612" t="str">
        <f t="shared" si="54"/>
        <v>Correct</v>
      </c>
      <c r="Q612" t="str">
        <f t="shared" si="55"/>
        <v>June</v>
      </c>
      <c r="R612" s="3">
        <f t="shared" si="56"/>
        <v>2024</v>
      </c>
      <c r="S612" s="3" t="str">
        <f t="shared" si="57"/>
        <v>Q2</v>
      </c>
      <c r="T612" s="3" t="str">
        <f t="shared" si="58"/>
        <v>Desk</v>
      </c>
    </row>
    <row r="613" spans="1:20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59"/>
        <v>305.17</v>
      </c>
      <c r="P613" t="str">
        <f t="shared" si="54"/>
        <v>Correct</v>
      </c>
      <c r="Q613" t="str">
        <f t="shared" si="55"/>
        <v>April</v>
      </c>
      <c r="R613" s="3">
        <f t="shared" si="56"/>
        <v>2023</v>
      </c>
      <c r="S613" s="3" t="str">
        <f t="shared" si="57"/>
        <v>Q2</v>
      </c>
      <c r="T613" s="3" t="str">
        <f t="shared" si="58"/>
        <v>Desk</v>
      </c>
    </row>
    <row r="614" spans="1:20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59"/>
        <v>1335.3600000000001</v>
      </c>
      <c r="P614" t="str">
        <f t="shared" si="54"/>
        <v>Correct</v>
      </c>
      <c r="Q614" t="str">
        <f t="shared" si="55"/>
        <v>June</v>
      </c>
      <c r="R614" s="3">
        <f t="shared" si="56"/>
        <v>2023</v>
      </c>
      <c r="S614" s="3" t="str">
        <f t="shared" si="57"/>
        <v>Q2</v>
      </c>
      <c r="T614" s="3" t="str">
        <f t="shared" si="58"/>
        <v>Chair</v>
      </c>
    </row>
    <row r="615" spans="1:20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59"/>
        <v>460.72</v>
      </c>
      <c r="P615" t="str">
        <f t="shared" si="54"/>
        <v>Correct</v>
      </c>
      <c r="Q615" t="str">
        <f t="shared" si="55"/>
        <v>December</v>
      </c>
      <c r="R615" s="3">
        <f t="shared" si="56"/>
        <v>2024</v>
      </c>
      <c r="S615" s="3" t="str">
        <f t="shared" si="57"/>
        <v>Q4</v>
      </c>
      <c r="T615" s="3" t="str">
        <f t="shared" si="58"/>
        <v>Laptop</v>
      </c>
    </row>
    <row r="616" spans="1:20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59"/>
        <v>96.81</v>
      </c>
      <c r="P616" t="str">
        <f t="shared" si="54"/>
        <v>Correct</v>
      </c>
      <c r="Q616" t="str">
        <f t="shared" si="55"/>
        <v>March</v>
      </c>
      <c r="R616" s="3">
        <f t="shared" si="56"/>
        <v>2024</v>
      </c>
      <c r="S616" s="3" t="str">
        <f t="shared" si="57"/>
        <v>Q1</v>
      </c>
      <c r="T616" s="3" t="str">
        <f t="shared" si="58"/>
        <v>Phone</v>
      </c>
    </row>
    <row r="617" spans="1:20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59"/>
        <v>2300.6999999999998</v>
      </c>
      <c r="P617" t="str">
        <f t="shared" si="54"/>
        <v>Correct</v>
      </c>
      <c r="Q617" t="str">
        <f t="shared" si="55"/>
        <v>March</v>
      </c>
      <c r="R617" s="3">
        <f t="shared" si="56"/>
        <v>2025</v>
      </c>
      <c r="S617" s="3" t="str">
        <f t="shared" si="57"/>
        <v>Q1</v>
      </c>
      <c r="T617" s="3" t="str">
        <f t="shared" si="58"/>
        <v>Monitor</v>
      </c>
    </row>
    <row r="618" spans="1:20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59"/>
        <v>1804.8000000000002</v>
      </c>
      <c r="P618" t="str">
        <f t="shared" si="54"/>
        <v>Correct</v>
      </c>
      <c r="Q618" t="str">
        <f t="shared" si="55"/>
        <v>October</v>
      </c>
      <c r="R618" s="3">
        <f t="shared" si="56"/>
        <v>2024</v>
      </c>
      <c r="S618" s="3" t="str">
        <f t="shared" si="57"/>
        <v>Q4</v>
      </c>
      <c r="T618" s="3" t="str">
        <f t="shared" si="58"/>
        <v>Tablet</v>
      </c>
    </row>
    <row r="619" spans="1:20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59"/>
        <v>553.41</v>
      </c>
      <c r="P619" t="str">
        <f t="shared" si="54"/>
        <v>Correct</v>
      </c>
      <c r="Q619" t="str">
        <f t="shared" si="55"/>
        <v>February</v>
      </c>
      <c r="R619" s="3">
        <f t="shared" si="56"/>
        <v>2024</v>
      </c>
      <c r="S619" s="3" t="str">
        <f t="shared" si="57"/>
        <v>Q1</v>
      </c>
      <c r="T619" s="3" t="str">
        <f t="shared" si="58"/>
        <v>Tablet</v>
      </c>
    </row>
    <row r="620" spans="1:20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59"/>
        <v>411.34</v>
      </c>
      <c r="P620" t="str">
        <f t="shared" si="54"/>
        <v>Correct</v>
      </c>
      <c r="Q620" t="str">
        <f t="shared" si="55"/>
        <v>September</v>
      </c>
      <c r="R620" s="3">
        <f t="shared" si="56"/>
        <v>2024</v>
      </c>
      <c r="S620" s="3" t="str">
        <f t="shared" si="57"/>
        <v>Q3</v>
      </c>
      <c r="T620" s="3" t="str">
        <f t="shared" si="58"/>
        <v>Tablet</v>
      </c>
    </row>
    <row r="621" spans="1:20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59"/>
        <v>532.89</v>
      </c>
      <c r="P621" t="str">
        <f t="shared" si="54"/>
        <v>Correct</v>
      </c>
      <c r="Q621" t="str">
        <f t="shared" si="55"/>
        <v>July</v>
      </c>
      <c r="R621" s="3">
        <f t="shared" si="56"/>
        <v>2024</v>
      </c>
      <c r="S621" s="3" t="str">
        <f t="shared" si="57"/>
        <v>Q3</v>
      </c>
      <c r="T621" s="3" t="str">
        <f t="shared" si="58"/>
        <v>Laptop</v>
      </c>
    </row>
    <row r="622" spans="1:20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59"/>
        <v>409.02</v>
      </c>
      <c r="P622" t="str">
        <f t="shared" si="54"/>
        <v>Correct</v>
      </c>
      <c r="Q622" t="str">
        <f t="shared" si="55"/>
        <v>March</v>
      </c>
      <c r="R622" s="3">
        <f t="shared" si="56"/>
        <v>2024</v>
      </c>
      <c r="S622" s="3" t="str">
        <f t="shared" si="57"/>
        <v>Q1</v>
      </c>
      <c r="T622" s="3" t="str">
        <f t="shared" si="58"/>
        <v>Tablet</v>
      </c>
    </row>
    <row r="623" spans="1:20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59"/>
        <v>2380.0500000000002</v>
      </c>
      <c r="P623" t="str">
        <f t="shared" si="54"/>
        <v>Correct</v>
      </c>
      <c r="Q623" t="str">
        <f t="shared" si="55"/>
        <v>October</v>
      </c>
      <c r="R623" s="3">
        <f t="shared" si="56"/>
        <v>2023</v>
      </c>
      <c r="S623" s="3" t="str">
        <f t="shared" si="57"/>
        <v>Q4</v>
      </c>
      <c r="T623" s="3" t="str">
        <f t="shared" si="58"/>
        <v>Phone</v>
      </c>
    </row>
    <row r="624" spans="1:20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59"/>
        <v>1181.9000000000001</v>
      </c>
      <c r="P624" t="str">
        <f t="shared" si="54"/>
        <v>Correct</v>
      </c>
      <c r="Q624" t="str">
        <f t="shared" si="55"/>
        <v>November</v>
      </c>
      <c r="R624" s="3">
        <f t="shared" si="56"/>
        <v>2024</v>
      </c>
      <c r="S624" s="3" t="str">
        <f t="shared" si="57"/>
        <v>Q4</v>
      </c>
      <c r="T624" s="3" t="str">
        <f t="shared" si="58"/>
        <v>Desk</v>
      </c>
    </row>
    <row r="625" spans="1:20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59"/>
        <v>1188</v>
      </c>
      <c r="P625" t="str">
        <f t="shared" si="54"/>
        <v>Correct</v>
      </c>
      <c r="Q625" t="str">
        <f t="shared" si="55"/>
        <v>June</v>
      </c>
      <c r="R625" s="3">
        <f t="shared" si="56"/>
        <v>2023</v>
      </c>
      <c r="S625" s="3" t="str">
        <f t="shared" si="57"/>
        <v>Q2</v>
      </c>
      <c r="T625" s="3" t="str">
        <f t="shared" si="58"/>
        <v>Printer</v>
      </c>
    </row>
    <row r="626" spans="1:20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59"/>
        <v>1709.8</v>
      </c>
      <c r="P626" t="str">
        <f t="shared" si="54"/>
        <v>Correct</v>
      </c>
      <c r="Q626" t="str">
        <f t="shared" si="55"/>
        <v>January</v>
      </c>
      <c r="R626" s="3">
        <f t="shared" si="56"/>
        <v>2024</v>
      </c>
      <c r="S626" s="3" t="str">
        <f t="shared" si="57"/>
        <v>Q1</v>
      </c>
      <c r="T626" s="3" t="str">
        <f t="shared" si="58"/>
        <v>Tablet</v>
      </c>
    </row>
    <row r="627" spans="1:20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59"/>
        <v>672.89</v>
      </c>
      <c r="P627" t="str">
        <f t="shared" si="54"/>
        <v>Correct</v>
      </c>
      <c r="Q627" t="str">
        <f t="shared" si="55"/>
        <v>September</v>
      </c>
      <c r="R627" s="3">
        <f t="shared" si="56"/>
        <v>2023</v>
      </c>
      <c r="S627" s="3" t="str">
        <f t="shared" si="57"/>
        <v>Q3</v>
      </c>
      <c r="T627" s="3" t="str">
        <f t="shared" si="58"/>
        <v>Tablet</v>
      </c>
    </row>
    <row r="628" spans="1:20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59"/>
        <v>1314.96</v>
      </c>
      <c r="P628" t="str">
        <f t="shared" si="54"/>
        <v>Correct</v>
      </c>
      <c r="Q628" t="str">
        <f t="shared" si="55"/>
        <v>March</v>
      </c>
      <c r="R628" s="3">
        <f t="shared" si="56"/>
        <v>2024</v>
      </c>
      <c r="S628" s="3" t="str">
        <f t="shared" si="57"/>
        <v>Q1</v>
      </c>
      <c r="T628" s="3" t="str">
        <f t="shared" si="58"/>
        <v>Tablet</v>
      </c>
    </row>
    <row r="629" spans="1:20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59"/>
        <v>1496.04</v>
      </c>
      <c r="P629" t="str">
        <f t="shared" si="54"/>
        <v>Correct</v>
      </c>
      <c r="Q629" t="str">
        <f t="shared" si="55"/>
        <v>August</v>
      </c>
      <c r="R629" s="3">
        <f t="shared" si="56"/>
        <v>2023</v>
      </c>
      <c r="S629" s="3" t="str">
        <f t="shared" si="57"/>
        <v>Q3</v>
      </c>
      <c r="T629" s="3" t="str">
        <f t="shared" si="58"/>
        <v>Chair</v>
      </c>
    </row>
    <row r="630" spans="1:20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59"/>
        <v>2793.15</v>
      </c>
      <c r="P630" t="str">
        <f t="shared" si="54"/>
        <v>Correct</v>
      </c>
      <c r="Q630" t="str">
        <f t="shared" si="55"/>
        <v>March</v>
      </c>
      <c r="R630" s="3">
        <f t="shared" si="56"/>
        <v>2023</v>
      </c>
      <c r="S630" s="3" t="str">
        <f t="shared" si="57"/>
        <v>Q1</v>
      </c>
      <c r="T630" s="3" t="str">
        <f t="shared" si="58"/>
        <v>Printer</v>
      </c>
    </row>
    <row r="631" spans="1:20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59"/>
        <v>59.19</v>
      </c>
      <c r="P631" t="str">
        <f t="shared" si="54"/>
        <v>Correct</v>
      </c>
      <c r="Q631" t="str">
        <f t="shared" si="55"/>
        <v>July</v>
      </c>
      <c r="R631" s="3">
        <f t="shared" si="56"/>
        <v>2023</v>
      </c>
      <c r="S631" s="3" t="str">
        <f t="shared" si="57"/>
        <v>Q3</v>
      </c>
      <c r="T631" s="3" t="str">
        <f t="shared" si="58"/>
        <v>Phone</v>
      </c>
    </row>
    <row r="632" spans="1:20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59"/>
        <v>1244.2</v>
      </c>
      <c r="P632" t="str">
        <f t="shared" si="54"/>
        <v>Correct</v>
      </c>
      <c r="Q632" t="str">
        <f t="shared" si="55"/>
        <v>June</v>
      </c>
      <c r="R632" s="3">
        <f t="shared" si="56"/>
        <v>2023</v>
      </c>
      <c r="S632" s="3" t="str">
        <f t="shared" si="57"/>
        <v>Q2</v>
      </c>
      <c r="T632" s="3" t="str">
        <f t="shared" si="58"/>
        <v>Monitor</v>
      </c>
    </row>
    <row r="633" spans="1:20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59"/>
        <v>138.32999999999998</v>
      </c>
      <c r="P633" t="str">
        <f t="shared" si="54"/>
        <v>Correct</v>
      </c>
      <c r="Q633" t="str">
        <f t="shared" si="55"/>
        <v>August</v>
      </c>
      <c r="R633" s="3">
        <f t="shared" si="56"/>
        <v>2024</v>
      </c>
      <c r="S633" s="3" t="str">
        <f t="shared" si="57"/>
        <v>Q3</v>
      </c>
      <c r="T633" s="3" t="str">
        <f t="shared" si="58"/>
        <v>Chair</v>
      </c>
    </row>
    <row r="634" spans="1:20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59"/>
        <v>3390.7999999999997</v>
      </c>
      <c r="P634" t="str">
        <f t="shared" si="54"/>
        <v>Correct</v>
      </c>
      <c r="Q634" t="str">
        <f t="shared" si="55"/>
        <v>May</v>
      </c>
      <c r="R634" s="3">
        <f t="shared" si="56"/>
        <v>2023</v>
      </c>
      <c r="S634" s="3" t="str">
        <f t="shared" si="57"/>
        <v>Q2</v>
      </c>
      <c r="T634" s="3" t="str">
        <f t="shared" si="58"/>
        <v>Laptop</v>
      </c>
    </row>
    <row r="635" spans="1:20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59"/>
        <v>3008.6000000000004</v>
      </c>
      <c r="P635" t="str">
        <f t="shared" si="54"/>
        <v>Correct</v>
      </c>
      <c r="Q635" t="str">
        <f t="shared" si="55"/>
        <v>April</v>
      </c>
      <c r="R635" s="3">
        <f t="shared" si="56"/>
        <v>2024</v>
      </c>
      <c r="S635" s="3" t="str">
        <f t="shared" si="57"/>
        <v>Q2</v>
      </c>
      <c r="T635" s="3" t="str">
        <f t="shared" si="58"/>
        <v>Laptop</v>
      </c>
    </row>
    <row r="636" spans="1:20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59"/>
        <v>518.64</v>
      </c>
      <c r="P636" t="str">
        <f t="shared" si="54"/>
        <v>Correct</v>
      </c>
      <c r="Q636" t="str">
        <f t="shared" si="55"/>
        <v>April</v>
      </c>
      <c r="R636" s="3">
        <f t="shared" si="56"/>
        <v>2024</v>
      </c>
      <c r="S636" s="3" t="str">
        <f t="shared" si="57"/>
        <v>Q2</v>
      </c>
      <c r="T636" s="3" t="str">
        <f t="shared" si="58"/>
        <v>Printer</v>
      </c>
    </row>
    <row r="637" spans="1:20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59"/>
        <v>191.04</v>
      </c>
      <c r="P637" t="str">
        <f t="shared" si="54"/>
        <v>Correct</v>
      </c>
      <c r="Q637" t="str">
        <f t="shared" si="55"/>
        <v>December</v>
      </c>
      <c r="R637" s="3">
        <f t="shared" si="56"/>
        <v>2023</v>
      </c>
      <c r="S637" s="3" t="str">
        <f t="shared" si="57"/>
        <v>Q4</v>
      </c>
      <c r="T637" s="3" t="str">
        <f t="shared" si="58"/>
        <v>Chair</v>
      </c>
    </row>
    <row r="638" spans="1:20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59"/>
        <v>1484.28</v>
      </c>
      <c r="P638" t="str">
        <f t="shared" si="54"/>
        <v>Correct</v>
      </c>
      <c r="Q638" t="str">
        <f t="shared" si="55"/>
        <v>October</v>
      </c>
      <c r="R638" s="3">
        <f t="shared" si="56"/>
        <v>2023</v>
      </c>
      <c r="S638" s="3" t="str">
        <f t="shared" si="57"/>
        <v>Q4</v>
      </c>
      <c r="T638" s="3" t="str">
        <f t="shared" si="58"/>
        <v>Laptop</v>
      </c>
    </row>
    <row r="639" spans="1:20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59"/>
        <v>1225.4000000000001</v>
      </c>
      <c r="P639" t="str">
        <f t="shared" si="54"/>
        <v>Correct</v>
      </c>
      <c r="Q639" t="str">
        <f t="shared" si="55"/>
        <v>September</v>
      </c>
      <c r="R639" s="3">
        <f t="shared" si="56"/>
        <v>2024</v>
      </c>
      <c r="S639" s="3" t="str">
        <f t="shared" si="57"/>
        <v>Q3</v>
      </c>
      <c r="T639" s="3" t="str">
        <f t="shared" si="58"/>
        <v>Chair</v>
      </c>
    </row>
    <row r="640" spans="1:20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59"/>
        <v>2313.08</v>
      </c>
      <c r="P640" t="str">
        <f t="shared" si="54"/>
        <v>Correct</v>
      </c>
      <c r="Q640" t="str">
        <f t="shared" si="55"/>
        <v>October</v>
      </c>
      <c r="R640" s="3">
        <f t="shared" si="56"/>
        <v>2023</v>
      </c>
      <c r="S640" s="3" t="str">
        <f t="shared" si="57"/>
        <v>Q4</v>
      </c>
      <c r="T640" s="3" t="str">
        <f t="shared" si="58"/>
        <v>Tablet</v>
      </c>
    </row>
    <row r="641" spans="1:20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59"/>
        <v>529.19000000000005</v>
      </c>
      <c r="P641" t="str">
        <f t="shared" si="54"/>
        <v>Correct</v>
      </c>
      <c r="Q641" t="str">
        <f t="shared" si="55"/>
        <v>January</v>
      </c>
      <c r="R641" s="3">
        <f t="shared" si="56"/>
        <v>2023</v>
      </c>
      <c r="S641" s="3" t="str">
        <f t="shared" si="57"/>
        <v>Q1</v>
      </c>
      <c r="T641" s="3" t="str">
        <f t="shared" si="58"/>
        <v>Chair</v>
      </c>
    </row>
    <row r="642" spans="1:20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59"/>
        <v>1174.98</v>
      </c>
      <c r="P642" t="str">
        <f t="shared" ref="P642:P705" si="60">IF(O642=N642,"Correct","Error")</f>
        <v>Correct</v>
      </c>
      <c r="Q642" t="str">
        <f t="shared" ref="Q642:Q705" si="61">TEXT(B642,"MMMM")</f>
        <v>February</v>
      </c>
      <c r="R642" s="3">
        <f t="shared" ref="R642:R705" si="62">YEAR(B642)</f>
        <v>2024</v>
      </c>
      <c r="S642" s="3" t="str">
        <f t="shared" ref="S642:S705" si="63">"Q"&amp;ROUNDUP(MONTH(B642)/3,0)</f>
        <v>Q1</v>
      </c>
      <c r="T642" s="3" t="str">
        <f t="shared" ref="T642:T705" si="64">TRIM(D642)</f>
        <v>Chair</v>
      </c>
    </row>
    <row r="643" spans="1:20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65">E643*F643</f>
        <v>2270.2800000000002</v>
      </c>
      <c r="P643" t="str">
        <f t="shared" si="60"/>
        <v>Correct</v>
      </c>
      <c r="Q643" t="str">
        <f t="shared" si="61"/>
        <v>June</v>
      </c>
      <c r="R643" s="3">
        <f t="shared" si="62"/>
        <v>2024</v>
      </c>
      <c r="S643" s="3" t="str">
        <f t="shared" si="63"/>
        <v>Q2</v>
      </c>
      <c r="T643" s="3" t="str">
        <f t="shared" si="64"/>
        <v>Printer</v>
      </c>
    </row>
    <row r="644" spans="1:20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65"/>
        <v>426.1</v>
      </c>
      <c r="P644" t="str">
        <f t="shared" si="60"/>
        <v>Correct</v>
      </c>
      <c r="Q644" t="str">
        <f t="shared" si="61"/>
        <v>April</v>
      </c>
      <c r="R644" s="3">
        <f t="shared" si="62"/>
        <v>2024</v>
      </c>
      <c r="S644" s="3" t="str">
        <f t="shared" si="63"/>
        <v>Q2</v>
      </c>
      <c r="T644" s="3" t="str">
        <f t="shared" si="64"/>
        <v>Chair</v>
      </c>
    </row>
    <row r="645" spans="1:20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65"/>
        <v>438.37</v>
      </c>
      <c r="P645" t="str">
        <f t="shared" si="60"/>
        <v>Correct</v>
      </c>
      <c r="Q645" t="str">
        <f t="shared" si="61"/>
        <v>August</v>
      </c>
      <c r="R645" s="3">
        <f t="shared" si="62"/>
        <v>2024</v>
      </c>
      <c r="S645" s="3" t="str">
        <f t="shared" si="63"/>
        <v>Q3</v>
      </c>
      <c r="T645" s="3" t="str">
        <f t="shared" si="64"/>
        <v>Laptop</v>
      </c>
    </row>
    <row r="646" spans="1:20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65"/>
        <v>732.46</v>
      </c>
      <c r="P646" t="str">
        <f t="shared" si="60"/>
        <v>Correct</v>
      </c>
      <c r="Q646" t="str">
        <f t="shared" si="61"/>
        <v>November</v>
      </c>
      <c r="R646" s="3">
        <f t="shared" si="62"/>
        <v>2023</v>
      </c>
      <c r="S646" s="3" t="str">
        <f t="shared" si="63"/>
        <v>Q4</v>
      </c>
      <c r="T646" s="3" t="str">
        <f t="shared" si="64"/>
        <v>Chair</v>
      </c>
    </row>
    <row r="647" spans="1:20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65"/>
        <v>300.10000000000002</v>
      </c>
      <c r="P647" t="str">
        <f t="shared" si="60"/>
        <v>Correct</v>
      </c>
      <c r="Q647" t="str">
        <f t="shared" si="61"/>
        <v>January</v>
      </c>
      <c r="R647" s="3">
        <f t="shared" si="62"/>
        <v>2023</v>
      </c>
      <c r="S647" s="3" t="str">
        <f t="shared" si="63"/>
        <v>Q1</v>
      </c>
      <c r="T647" s="3" t="str">
        <f t="shared" si="64"/>
        <v>Laptop</v>
      </c>
    </row>
    <row r="648" spans="1:20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65"/>
        <v>1994.04</v>
      </c>
      <c r="P648" t="str">
        <f t="shared" si="60"/>
        <v>Correct</v>
      </c>
      <c r="Q648" t="str">
        <f t="shared" si="61"/>
        <v>October</v>
      </c>
      <c r="R648" s="3">
        <f t="shared" si="62"/>
        <v>2023</v>
      </c>
      <c r="S648" s="3" t="str">
        <f t="shared" si="63"/>
        <v>Q4</v>
      </c>
      <c r="T648" s="3" t="str">
        <f t="shared" si="64"/>
        <v>Chair</v>
      </c>
    </row>
    <row r="649" spans="1:20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65"/>
        <v>1018.17</v>
      </c>
      <c r="P649" t="str">
        <f t="shared" si="60"/>
        <v>Correct</v>
      </c>
      <c r="Q649" t="str">
        <f t="shared" si="61"/>
        <v>April</v>
      </c>
      <c r="R649" s="3">
        <f t="shared" si="62"/>
        <v>2025</v>
      </c>
      <c r="S649" s="3" t="str">
        <f t="shared" si="63"/>
        <v>Q2</v>
      </c>
      <c r="T649" s="3" t="str">
        <f t="shared" si="64"/>
        <v>Desk</v>
      </c>
    </row>
    <row r="650" spans="1:20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65"/>
        <v>1151.6600000000001</v>
      </c>
      <c r="P650" t="str">
        <f t="shared" si="60"/>
        <v>Correct</v>
      </c>
      <c r="Q650" t="str">
        <f t="shared" si="61"/>
        <v>January</v>
      </c>
      <c r="R650" s="3">
        <f t="shared" si="62"/>
        <v>2025</v>
      </c>
      <c r="S650" s="3" t="str">
        <f t="shared" si="63"/>
        <v>Q1</v>
      </c>
      <c r="T650" s="3" t="str">
        <f t="shared" si="64"/>
        <v>Monitor</v>
      </c>
    </row>
    <row r="651" spans="1:20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65"/>
        <v>1285.96</v>
      </c>
      <c r="P651" t="str">
        <f t="shared" si="60"/>
        <v>Correct</v>
      </c>
      <c r="Q651" t="str">
        <f t="shared" si="61"/>
        <v>December</v>
      </c>
      <c r="R651" s="3">
        <f t="shared" si="62"/>
        <v>2023</v>
      </c>
      <c r="S651" s="3" t="str">
        <f t="shared" si="63"/>
        <v>Q4</v>
      </c>
      <c r="T651" s="3" t="str">
        <f t="shared" si="64"/>
        <v>Monitor</v>
      </c>
    </row>
    <row r="652" spans="1:20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65"/>
        <v>744.46</v>
      </c>
      <c r="P652" t="str">
        <f t="shared" si="60"/>
        <v>Correct</v>
      </c>
      <c r="Q652" t="str">
        <f t="shared" si="61"/>
        <v>May</v>
      </c>
      <c r="R652" s="3">
        <f t="shared" si="62"/>
        <v>2023</v>
      </c>
      <c r="S652" s="3" t="str">
        <f t="shared" si="63"/>
        <v>Q2</v>
      </c>
      <c r="T652" s="3" t="str">
        <f t="shared" si="64"/>
        <v>Desk</v>
      </c>
    </row>
    <row r="653" spans="1:20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65"/>
        <v>1939.02</v>
      </c>
      <c r="P653" t="str">
        <f t="shared" si="60"/>
        <v>Correct</v>
      </c>
      <c r="Q653" t="str">
        <f t="shared" si="61"/>
        <v>November</v>
      </c>
      <c r="R653" s="3">
        <f t="shared" si="62"/>
        <v>2024</v>
      </c>
      <c r="S653" s="3" t="str">
        <f t="shared" si="63"/>
        <v>Q4</v>
      </c>
      <c r="T653" s="3" t="str">
        <f t="shared" si="64"/>
        <v>Chair</v>
      </c>
    </row>
    <row r="654" spans="1:20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65"/>
        <v>1709.1999999999998</v>
      </c>
      <c r="P654" t="str">
        <f t="shared" si="60"/>
        <v>Correct</v>
      </c>
      <c r="Q654" t="str">
        <f t="shared" si="61"/>
        <v>June</v>
      </c>
      <c r="R654" s="3">
        <f t="shared" si="62"/>
        <v>2024</v>
      </c>
      <c r="S654" s="3" t="str">
        <f t="shared" si="63"/>
        <v>Q2</v>
      </c>
      <c r="T654" s="3" t="str">
        <f t="shared" si="64"/>
        <v>Chair</v>
      </c>
    </row>
    <row r="655" spans="1:20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65"/>
        <v>2070.8999999999996</v>
      </c>
      <c r="P655" t="str">
        <f t="shared" si="60"/>
        <v>Correct</v>
      </c>
      <c r="Q655" t="str">
        <f t="shared" si="61"/>
        <v>February</v>
      </c>
      <c r="R655" s="3">
        <f t="shared" si="62"/>
        <v>2024</v>
      </c>
      <c r="S655" s="3" t="str">
        <f t="shared" si="63"/>
        <v>Q1</v>
      </c>
      <c r="T655" s="3" t="str">
        <f t="shared" si="64"/>
        <v>Printer</v>
      </c>
    </row>
    <row r="656" spans="1:20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65"/>
        <v>1147.1100000000001</v>
      </c>
      <c r="P656" t="str">
        <f t="shared" si="60"/>
        <v>Correct</v>
      </c>
      <c r="Q656" t="str">
        <f t="shared" si="61"/>
        <v>June</v>
      </c>
      <c r="R656" s="3">
        <f t="shared" si="62"/>
        <v>2023</v>
      </c>
      <c r="S656" s="3" t="str">
        <f t="shared" si="63"/>
        <v>Q2</v>
      </c>
      <c r="T656" s="3" t="str">
        <f t="shared" si="64"/>
        <v>Tablet</v>
      </c>
    </row>
    <row r="657" spans="1:20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65"/>
        <v>265.2</v>
      </c>
      <c r="P657" t="str">
        <f t="shared" si="60"/>
        <v>Correct</v>
      </c>
      <c r="Q657" t="str">
        <f t="shared" si="61"/>
        <v>March</v>
      </c>
      <c r="R657" s="3">
        <f t="shared" si="62"/>
        <v>2023</v>
      </c>
      <c r="S657" s="3" t="str">
        <f t="shared" si="63"/>
        <v>Q1</v>
      </c>
      <c r="T657" s="3" t="str">
        <f t="shared" si="64"/>
        <v>Chair</v>
      </c>
    </row>
    <row r="658" spans="1:20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65"/>
        <v>378.12</v>
      </c>
      <c r="P658" t="str">
        <f t="shared" si="60"/>
        <v>Correct</v>
      </c>
      <c r="Q658" t="str">
        <f t="shared" si="61"/>
        <v>January</v>
      </c>
      <c r="R658" s="3">
        <f t="shared" si="62"/>
        <v>2024</v>
      </c>
      <c r="S658" s="3" t="str">
        <f t="shared" si="63"/>
        <v>Q1</v>
      </c>
      <c r="T658" s="3" t="str">
        <f t="shared" si="64"/>
        <v>Monitor</v>
      </c>
    </row>
    <row r="659" spans="1:20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65"/>
        <v>351.16</v>
      </c>
      <c r="P659" t="str">
        <f t="shared" si="60"/>
        <v>Correct</v>
      </c>
      <c r="Q659" t="str">
        <f t="shared" si="61"/>
        <v>December</v>
      </c>
      <c r="R659" s="3">
        <f t="shared" si="62"/>
        <v>2023</v>
      </c>
      <c r="S659" s="3" t="str">
        <f t="shared" si="63"/>
        <v>Q4</v>
      </c>
      <c r="T659" s="3" t="str">
        <f t="shared" si="64"/>
        <v>Tablet</v>
      </c>
    </row>
    <row r="660" spans="1:20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65"/>
        <v>92.72</v>
      </c>
      <c r="P660" t="str">
        <f t="shared" si="60"/>
        <v>Correct</v>
      </c>
      <c r="Q660" t="str">
        <f t="shared" si="61"/>
        <v>April</v>
      </c>
      <c r="R660" s="3">
        <f t="shared" si="62"/>
        <v>2025</v>
      </c>
      <c r="S660" s="3" t="str">
        <f t="shared" si="63"/>
        <v>Q2</v>
      </c>
      <c r="T660" s="3" t="str">
        <f t="shared" si="64"/>
        <v>Printer</v>
      </c>
    </row>
    <row r="661" spans="1:20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65"/>
        <v>1284.08</v>
      </c>
      <c r="P661" t="str">
        <f t="shared" si="60"/>
        <v>Correct</v>
      </c>
      <c r="Q661" t="str">
        <f t="shared" si="61"/>
        <v>October</v>
      </c>
      <c r="R661" s="3">
        <f t="shared" si="62"/>
        <v>2024</v>
      </c>
      <c r="S661" s="3" t="str">
        <f t="shared" si="63"/>
        <v>Q4</v>
      </c>
      <c r="T661" s="3" t="str">
        <f t="shared" si="64"/>
        <v>Phone</v>
      </c>
    </row>
    <row r="662" spans="1:20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65"/>
        <v>1303.1400000000001</v>
      </c>
      <c r="P662" t="str">
        <f t="shared" si="60"/>
        <v>Correct</v>
      </c>
      <c r="Q662" t="str">
        <f t="shared" si="61"/>
        <v>October</v>
      </c>
      <c r="R662" s="3">
        <f t="shared" si="62"/>
        <v>2024</v>
      </c>
      <c r="S662" s="3" t="str">
        <f t="shared" si="63"/>
        <v>Q4</v>
      </c>
      <c r="T662" s="3" t="str">
        <f t="shared" si="64"/>
        <v>Chair</v>
      </c>
    </row>
    <row r="663" spans="1:20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65"/>
        <v>1274.67</v>
      </c>
      <c r="P663" t="str">
        <f t="shared" si="60"/>
        <v>Correct</v>
      </c>
      <c r="Q663" t="str">
        <f t="shared" si="61"/>
        <v>February</v>
      </c>
      <c r="R663" s="3">
        <f t="shared" si="62"/>
        <v>2025</v>
      </c>
      <c r="S663" s="3" t="str">
        <f t="shared" si="63"/>
        <v>Q1</v>
      </c>
      <c r="T663" s="3" t="str">
        <f t="shared" si="64"/>
        <v>Tablet</v>
      </c>
    </row>
    <row r="664" spans="1:20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65"/>
        <v>1316.67</v>
      </c>
      <c r="P664" t="str">
        <f t="shared" si="60"/>
        <v>Correct</v>
      </c>
      <c r="Q664" t="str">
        <f t="shared" si="61"/>
        <v>January</v>
      </c>
      <c r="R664" s="3">
        <f t="shared" si="62"/>
        <v>2023</v>
      </c>
      <c r="S664" s="3" t="str">
        <f t="shared" si="63"/>
        <v>Q1</v>
      </c>
      <c r="T664" s="3" t="str">
        <f t="shared" si="64"/>
        <v>Laptop</v>
      </c>
    </row>
    <row r="665" spans="1:20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65"/>
        <v>72.599999999999994</v>
      </c>
      <c r="P665" t="str">
        <f t="shared" si="60"/>
        <v>Correct</v>
      </c>
      <c r="Q665" t="str">
        <f t="shared" si="61"/>
        <v>April</v>
      </c>
      <c r="R665" s="3">
        <f t="shared" si="62"/>
        <v>2024</v>
      </c>
      <c r="S665" s="3" t="str">
        <f t="shared" si="63"/>
        <v>Q2</v>
      </c>
      <c r="T665" s="3" t="str">
        <f t="shared" si="64"/>
        <v>Monitor</v>
      </c>
    </row>
    <row r="666" spans="1:20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65"/>
        <v>779</v>
      </c>
      <c r="P666" t="str">
        <f t="shared" si="60"/>
        <v>Correct</v>
      </c>
      <c r="Q666" t="str">
        <f t="shared" si="61"/>
        <v>December</v>
      </c>
      <c r="R666" s="3">
        <f t="shared" si="62"/>
        <v>2024</v>
      </c>
      <c r="S666" s="3" t="str">
        <f t="shared" si="63"/>
        <v>Q4</v>
      </c>
      <c r="T666" s="3" t="str">
        <f t="shared" si="64"/>
        <v>Laptop</v>
      </c>
    </row>
    <row r="667" spans="1:20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65"/>
        <v>925.04</v>
      </c>
      <c r="P667" t="str">
        <f t="shared" si="60"/>
        <v>Correct</v>
      </c>
      <c r="Q667" t="str">
        <f t="shared" si="61"/>
        <v>May</v>
      </c>
      <c r="R667" s="3">
        <f t="shared" si="62"/>
        <v>2023</v>
      </c>
      <c r="S667" s="3" t="str">
        <f t="shared" si="63"/>
        <v>Q2</v>
      </c>
      <c r="T667" s="3" t="str">
        <f t="shared" si="64"/>
        <v>Tablet</v>
      </c>
    </row>
    <row r="668" spans="1:20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65"/>
        <v>1308.48</v>
      </c>
      <c r="P668" t="str">
        <f t="shared" si="60"/>
        <v>Correct</v>
      </c>
      <c r="Q668" t="str">
        <f t="shared" si="61"/>
        <v>August</v>
      </c>
      <c r="R668" s="3">
        <f t="shared" si="62"/>
        <v>2024</v>
      </c>
      <c r="S668" s="3" t="str">
        <f t="shared" si="63"/>
        <v>Q3</v>
      </c>
      <c r="T668" s="3" t="str">
        <f t="shared" si="64"/>
        <v>Monitor</v>
      </c>
    </row>
    <row r="669" spans="1:20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65"/>
        <v>466.42</v>
      </c>
      <c r="P669" t="str">
        <f t="shared" si="60"/>
        <v>Correct</v>
      </c>
      <c r="Q669" t="str">
        <f t="shared" si="61"/>
        <v>May</v>
      </c>
      <c r="R669" s="3">
        <f t="shared" si="62"/>
        <v>2023</v>
      </c>
      <c r="S669" s="3" t="str">
        <f t="shared" si="63"/>
        <v>Q2</v>
      </c>
      <c r="T669" s="3" t="str">
        <f t="shared" si="64"/>
        <v>Laptop</v>
      </c>
    </row>
    <row r="670" spans="1:20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65"/>
        <v>507.34</v>
      </c>
      <c r="P670" t="str">
        <f t="shared" si="60"/>
        <v>Correct</v>
      </c>
      <c r="Q670" t="str">
        <f t="shared" si="61"/>
        <v>July</v>
      </c>
      <c r="R670" s="3">
        <f t="shared" si="62"/>
        <v>2024</v>
      </c>
      <c r="S670" s="3" t="str">
        <f t="shared" si="63"/>
        <v>Q3</v>
      </c>
      <c r="T670" s="3" t="str">
        <f t="shared" si="64"/>
        <v>Monitor</v>
      </c>
    </row>
    <row r="671" spans="1:20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65"/>
        <v>257</v>
      </c>
      <c r="P671" t="str">
        <f t="shared" si="60"/>
        <v>Correct</v>
      </c>
      <c r="Q671" t="str">
        <f t="shared" si="61"/>
        <v>February</v>
      </c>
      <c r="R671" s="3">
        <f t="shared" si="62"/>
        <v>2023</v>
      </c>
      <c r="S671" s="3" t="str">
        <f t="shared" si="63"/>
        <v>Q1</v>
      </c>
      <c r="T671" s="3" t="str">
        <f t="shared" si="64"/>
        <v>Desk</v>
      </c>
    </row>
    <row r="672" spans="1:20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65"/>
        <v>2156.8000000000002</v>
      </c>
      <c r="P672" t="str">
        <f t="shared" si="60"/>
        <v>Correct</v>
      </c>
      <c r="Q672" t="str">
        <f t="shared" si="61"/>
        <v>April</v>
      </c>
      <c r="R672" s="3">
        <f t="shared" si="62"/>
        <v>2024</v>
      </c>
      <c r="S672" s="3" t="str">
        <f t="shared" si="63"/>
        <v>Q2</v>
      </c>
      <c r="T672" s="3" t="str">
        <f t="shared" si="64"/>
        <v>Desk</v>
      </c>
    </row>
    <row r="673" spans="1:20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65"/>
        <v>253.70000000000002</v>
      </c>
      <c r="P673" t="str">
        <f t="shared" si="60"/>
        <v>Correct</v>
      </c>
      <c r="Q673" t="str">
        <f t="shared" si="61"/>
        <v>June</v>
      </c>
      <c r="R673" s="3">
        <f t="shared" si="62"/>
        <v>2023</v>
      </c>
      <c r="S673" s="3" t="str">
        <f t="shared" si="63"/>
        <v>Q2</v>
      </c>
      <c r="T673" s="3" t="str">
        <f t="shared" si="64"/>
        <v>Chair</v>
      </c>
    </row>
    <row r="674" spans="1:20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65"/>
        <v>1248.32</v>
      </c>
      <c r="P674" t="str">
        <f t="shared" si="60"/>
        <v>Correct</v>
      </c>
      <c r="Q674" t="str">
        <f t="shared" si="61"/>
        <v>May</v>
      </c>
      <c r="R674" s="3">
        <f t="shared" si="62"/>
        <v>2023</v>
      </c>
      <c r="S674" s="3" t="str">
        <f t="shared" si="63"/>
        <v>Q2</v>
      </c>
      <c r="T674" s="3" t="str">
        <f t="shared" si="64"/>
        <v>Phone</v>
      </c>
    </row>
    <row r="675" spans="1:20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65"/>
        <v>745.84</v>
      </c>
      <c r="P675" t="str">
        <f t="shared" si="60"/>
        <v>Correct</v>
      </c>
      <c r="Q675" t="str">
        <f t="shared" si="61"/>
        <v>February</v>
      </c>
      <c r="R675" s="3">
        <f t="shared" si="62"/>
        <v>2023</v>
      </c>
      <c r="S675" s="3" t="str">
        <f t="shared" si="63"/>
        <v>Q1</v>
      </c>
      <c r="T675" s="3" t="str">
        <f t="shared" si="64"/>
        <v>Tablet</v>
      </c>
    </row>
    <row r="676" spans="1:20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65"/>
        <v>1435</v>
      </c>
      <c r="P676" t="str">
        <f t="shared" si="60"/>
        <v>Correct</v>
      </c>
      <c r="Q676" t="str">
        <f t="shared" si="61"/>
        <v>January</v>
      </c>
      <c r="R676" s="3">
        <f t="shared" si="62"/>
        <v>2024</v>
      </c>
      <c r="S676" s="3" t="str">
        <f t="shared" si="63"/>
        <v>Q1</v>
      </c>
      <c r="T676" s="3" t="str">
        <f t="shared" si="64"/>
        <v>Laptop</v>
      </c>
    </row>
    <row r="677" spans="1:20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65"/>
        <v>1026.06</v>
      </c>
      <c r="P677" t="str">
        <f t="shared" si="60"/>
        <v>Correct</v>
      </c>
      <c r="Q677" t="str">
        <f t="shared" si="61"/>
        <v>August</v>
      </c>
      <c r="R677" s="3">
        <f t="shared" si="62"/>
        <v>2024</v>
      </c>
      <c r="S677" s="3" t="str">
        <f t="shared" si="63"/>
        <v>Q3</v>
      </c>
      <c r="T677" s="3" t="str">
        <f t="shared" si="64"/>
        <v>Desk</v>
      </c>
    </row>
    <row r="678" spans="1:20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65"/>
        <v>844.68</v>
      </c>
      <c r="P678" t="str">
        <f t="shared" si="60"/>
        <v>Correct</v>
      </c>
      <c r="Q678" t="str">
        <f t="shared" si="61"/>
        <v>June</v>
      </c>
      <c r="R678" s="3">
        <f t="shared" si="62"/>
        <v>2025</v>
      </c>
      <c r="S678" s="3" t="str">
        <f t="shared" si="63"/>
        <v>Q2</v>
      </c>
      <c r="T678" s="3" t="str">
        <f t="shared" si="64"/>
        <v>Laptop</v>
      </c>
    </row>
    <row r="679" spans="1:20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65"/>
        <v>110.35</v>
      </c>
      <c r="P679" t="str">
        <f t="shared" si="60"/>
        <v>Correct</v>
      </c>
      <c r="Q679" t="str">
        <f t="shared" si="61"/>
        <v>April</v>
      </c>
      <c r="R679" s="3">
        <f t="shared" si="62"/>
        <v>2025</v>
      </c>
      <c r="S679" s="3" t="str">
        <f t="shared" si="63"/>
        <v>Q2</v>
      </c>
      <c r="T679" s="3" t="str">
        <f t="shared" si="64"/>
        <v>Tablet</v>
      </c>
    </row>
    <row r="680" spans="1:20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65"/>
        <v>489.39</v>
      </c>
      <c r="P680" t="str">
        <f t="shared" si="60"/>
        <v>Correct</v>
      </c>
      <c r="Q680" t="str">
        <f t="shared" si="61"/>
        <v>November</v>
      </c>
      <c r="R680" s="3">
        <f t="shared" si="62"/>
        <v>2024</v>
      </c>
      <c r="S680" s="3" t="str">
        <f t="shared" si="63"/>
        <v>Q4</v>
      </c>
      <c r="T680" s="3" t="str">
        <f t="shared" si="64"/>
        <v>Chair</v>
      </c>
    </row>
    <row r="681" spans="1:20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65"/>
        <v>1081.98</v>
      </c>
      <c r="P681" t="str">
        <f t="shared" si="60"/>
        <v>Correct</v>
      </c>
      <c r="Q681" t="str">
        <f t="shared" si="61"/>
        <v>February</v>
      </c>
      <c r="R681" s="3">
        <f t="shared" si="62"/>
        <v>2023</v>
      </c>
      <c r="S681" s="3" t="str">
        <f t="shared" si="63"/>
        <v>Q1</v>
      </c>
      <c r="T681" s="3" t="str">
        <f t="shared" si="64"/>
        <v>Tablet</v>
      </c>
    </row>
    <row r="682" spans="1:20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65"/>
        <v>1390.17</v>
      </c>
      <c r="P682" t="str">
        <f t="shared" si="60"/>
        <v>Correct</v>
      </c>
      <c r="Q682" t="str">
        <f t="shared" si="61"/>
        <v>August</v>
      </c>
      <c r="R682" s="3">
        <f t="shared" si="62"/>
        <v>2023</v>
      </c>
      <c r="S682" s="3" t="str">
        <f t="shared" si="63"/>
        <v>Q3</v>
      </c>
      <c r="T682" s="3" t="str">
        <f t="shared" si="64"/>
        <v>Monitor</v>
      </c>
    </row>
    <row r="683" spans="1:20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65"/>
        <v>155.27000000000001</v>
      </c>
      <c r="P683" t="str">
        <f t="shared" si="60"/>
        <v>Correct</v>
      </c>
      <c r="Q683" t="str">
        <f t="shared" si="61"/>
        <v>January</v>
      </c>
      <c r="R683" s="3">
        <f t="shared" si="62"/>
        <v>2024</v>
      </c>
      <c r="S683" s="3" t="str">
        <f t="shared" si="63"/>
        <v>Q1</v>
      </c>
      <c r="T683" s="3" t="str">
        <f t="shared" si="64"/>
        <v>Tablet</v>
      </c>
    </row>
    <row r="684" spans="1:20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65"/>
        <v>1528.26</v>
      </c>
      <c r="P684" t="str">
        <f t="shared" si="60"/>
        <v>Correct</v>
      </c>
      <c r="Q684" t="str">
        <f t="shared" si="61"/>
        <v>July</v>
      </c>
      <c r="R684" s="3">
        <f t="shared" si="62"/>
        <v>2023</v>
      </c>
      <c r="S684" s="3" t="str">
        <f t="shared" si="63"/>
        <v>Q3</v>
      </c>
      <c r="T684" s="3" t="str">
        <f t="shared" si="64"/>
        <v>Monitor</v>
      </c>
    </row>
    <row r="685" spans="1:20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65"/>
        <v>2609.92</v>
      </c>
      <c r="P685" t="str">
        <f t="shared" si="60"/>
        <v>Correct</v>
      </c>
      <c r="Q685" t="str">
        <f t="shared" si="61"/>
        <v>May</v>
      </c>
      <c r="R685" s="3">
        <f t="shared" si="62"/>
        <v>2025</v>
      </c>
      <c r="S685" s="3" t="str">
        <f t="shared" si="63"/>
        <v>Q2</v>
      </c>
      <c r="T685" s="3" t="str">
        <f t="shared" si="64"/>
        <v>Desk</v>
      </c>
    </row>
    <row r="686" spans="1:20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65"/>
        <v>139.36000000000001</v>
      </c>
      <c r="P686" t="str">
        <f t="shared" si="60"/>
        <v>Correct</v>
      </c>
      <c r="Q686" t="str">
        <f t="shared" si="61"/>
        <v>September</v>
      </c>
      <c r="R686" s="3">
        <f t="shared" si="62"/>
        <v>2024</v>
      </c>
      <c r="S686" s="3" t="str">
        <f t="shared" si="63"/>
        <v>Q3</v>
      </c>
      <c r="T686" s="3" t="str">
        <f t="shared" si="64"/>
        <v>Printer</v>
      </c>
    </row>
    <row r="687" spans="1:20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4283</v>
      </c>
      <c r="M687" t="s">
        <v>4280</v>
      </c>
      <c r="N687">
        <v>234.37</v>
      </c>
      <c r="O687">
        <f t="shared" si="65"/>
        <v>234.37</v>
      </c>
      <c r="P687" t="str">
        <f t="shared" si="60"/>
        <v>Correct</v>
      </c>
      <c r="Q687" t="str">
        <f t="shared" si="61"/>
        <v>February</v>
      </c>
      <c r="R687" s="3">
        <f t="shared" si="62"/>
        <v>2025</v>
      </c>
      <c r="S687" s="3" t="str">
        <f t="shared" si="63"/>
        <v>Q1</v>
      </c>
      <c r="T687" s="3" t="str">
        <f t="shared" si="64"/>
        <v>Desk</v>
      </c>
    </row>
    <row r="688" spans="1:20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65"/>
        <v>160.80000000000001</v>
      </c>
      <c r="P688" t="str">
        <f t="shared" si="60"/>
        <v>Correct</v>
      </c>
      <c r="Q688" t="str">
        <f t="shared" si="61"/>
        <v>October</v>
      </c>
      <c r="R688" s="3">
        <f t="shared" si="62"/>
        <v>2023</v>
      </c>
      <c r="S688" s="3" t="str">
        <f t="shared" si="63"/>
        <v>Q4</v>
      </c>
      <c r="T688" s="3" t="str">
        <f t="shared" si="64"/>
        <v>Desk</v>
      </c>
    </row>
    <row r="689" spans="1:20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65"/>
        <v>332.09</v>
      </c>
      <c r="P689" t="str">
        <f t="shared" si="60"/>
        <v>Correct</v>
      </c>
      <c r="Q689" t="str">
        <f t="shared" si="61"/>
        <v>September</v>
      </c>
      <c r="R689" s="3">
        <f t="shared" si="62"/>
        <v>2023</v>
      </c>
      <c r="S689" s="3" t="str">
        <f t="shared" si="63"/>
        <v>Q3</v>
      </c>
      <c r="T689" s="3" t="str">
        <f t="shared" si="64"/>
        <v>Tablet</v>
      </c>
    </row>
    <row r="690" spans="1:20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65"/>
        <v>2372.88</v>
      </c>
      <c r="P690" t="str">
        <f t="shared" si="60"/>
        <v>Correct</v>
      </c>
      <c r="Q690" t="str">
        <f t="shared" si="61"/>
        <v>March</v>
      </c>
      <c r="R690" s="3">
        <f t="shared" si="62"/>
        <v>2024</v>
      </c>
      <c r="S690" s="3" t="str">
        <f t="shared" si="63"/>
        <v>Q1</v>
      </c>
      <c r="T690" s="3" t="str">
        <f t="shared" si="64"/>
        <v>Monitor</v>
      </c>
    </row>
    <row r="691" spans="1:20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65"/>
        <v>889.68</v>
      </c>
      <c r="P691" t="str">
        <f t="shared" si="60"/>
        <v>Correct</v>
      </c>
      <c r="Q691" t="str">
        <f t="shared" si="61"/>
        <v>August</v>
      </c>
      <c r="R691" s="3">
        <f t="shared" si="62"/>
        <v>2023</v>
      </c>
      <c r="S691" s="3" t="str">
        <f t="shared" si="63"/>
        <v>Q3</v>
      </c>
      <c r="T691" s="3" t="str">
        <f t="shared" si="64"/>
        <v>Tablet</v>
      </c>
    </row>
    <row r="692" spans="1:20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65"/>
        <v>24.48</v>
      </c>
      <c r="P692" t="str">
        <f t="shared" si="60"/>
        <v>Correct</v>
      </c>
      <c r="Q692" t="str">
        <f t="shared" si="61"/>
        <v>July</v>
      </c>
      <c r="R692" s="3">
        <f t="shared" si="62"/>
        <v>2024</v>
      </c>
      <c r="S692" s="3" t="str">
        <f t="shared" si="63"/>
        <v>Q3</v>
      </c>
      <c r="T692" s="3" t="str">
        <f t="shared" si="64"/>
        <v>Monitor</v>
      </c>
    </row>
    <row r="693" spans="1:20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65"/>
        <v>717.24</v>
      </c>
      <c r="P693" t="str">
        <f t="shared" si="60"/>
        <v>Correct</v>
      </c>
      <c r="Q693" t="str">
        <f t="shared" si="61"/>
        <v>November</v>
      </c>
      <c r="R693" s="3">
        <f t="shared" si="62"/>
        <v>2024</v>
      </c>
      <c r="S693" s="3" t="str">
        <f t="shared" si="63"/>
        <v>Q4</v>
      </c>
      <c r="T693" s="3" t="str">
        <f t="shared" si="64"/>
        <v>Laptop</v>
      </c>
    </row>
    <row r="694" spans="1:20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65"/>
        <v>984.2</v>
      </c>
      <c r="P694" t="str">
        <f t="shared" si="60"/>
        <v>Correct</v>
      </c>
      <c r="Q694" t="str">
        <f t="shared" si="61"/>
        <v>January</v>
      </c>
      <c r="R694" s="3">
        <f t="shared" si="62"/>
        <v>2023</v>
      </c>
      <c r="S694" s="3" t="str">
        <f t="shared" si="63"/>
        <v>Q1</v>
      </c>
      <c r="T694" s="3" t="str">
        <f t="shared" si="64"/>
        <v>Desk</v>
      </c>
    </row>
    <row r="695" spans="1:20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65"/>
        <v>176.58</v>
      </c>
      <c r="P695" t="str">
        <f t="shared" si="60"/>
        <v>Correct</v>
      </c>
      <c r="Q695" t="str">
        <f t="shared" si="61"/>
        <v>March</v>
      </c>
      <c r="R695" s="3">
        <f t="shared" si="62"/>
        <v>2025</v>
      </c>
      <c r="S695" s="3" t="str">
        <f t="shared" si="63"/>
        <v>Q1</v>
      </c>
      <c r="T695" s="3" t="str">
        <f t="shared" si="64"/>
        <v>Monitor</v>
      </c>
    </row>
    <row r="696" spans="1:20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65"/>
        <v>2666.08</v>
      </c>
      <c r="P696" t="str">
        <f t="shared" si="60"/>
        <v>Correct</v>
      </c>
      <c r="Q696" t="str">
        <f t="shared" si="61"/>
        <v>October</v>
      </c>
      <c r="R696" s="3">
        <f t="shared" si="62"/>
        <v>2023</v>
      </c>
      <c r="S696" s="3" t="str">
        <f t="shared" si="63"/>
        <v>Q4</v>
      </c>
      <c r="T696" s="3" t="str">
        <f t="shared" si="64"/>
        <v>Printer</v>
      </c>
    </row>
    <row r="697" spans="1:20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65"/>
        <v>506.5</v>
      </c>
      <c r="P697" t="str">
        <f t="shared" si="60"/>
        <v>Correct</v>
      </c>
      <c r="Q697" t="str">
        <f t="shared" si="61"/>
        <v>November</v>
      </c>
      <c r="R697" s="3">
        <f t="shared" si="62"/>
        <v>2024</v>
      </c>
      <c r="S697" s="3" t="str">
        <f t="shared" si="63"/>
        <v>Q4</v>
      </c>
      <c r="T697" s="3" t="str">
        <f t="shared" si="64"/>
        <v>Printer</v>
      </c>
    </row>
    <row r="698" spans="1:20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65"/>
        <v>604.79999999999995</v>
      </c>
      <c r="P698" t="str">
        <f t="shared" si="60"/>
        <v>Correct</v>
      </c>
      <c r="Q698" t="str">
        <f t="shared" si="61"/>
        <v>July</v>
      </c>
      <c r="R698" s="3">
        <f t="shared" si="62"/>
        <v>2023</v>
      </c>
      <c r="S698" s="3" t="str">
        <f t="shared" si="63"/>
        <v>Q3</v>
      </c>
      <c r="T698" s="3" t="str">
        <f t="shared" si="64"/>
        <v>Chair</v>
      </c>
    </row>
    <row r="699" spans="1:20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65"/>
        <v>474.25</v>
      </c>
      <c r="P699" t="str">
        <f t="shared" si="60"/>
        <v>Correct</v>
      </c>
      <c r="Q699" t="str">
        <f t="shared" si="61"/>
        <v>February</v>
      </c>
      <c r="R699" s="3">
        <f t="shared" si="62"/>
        <v>2025</v>
      </c>
      <c r="S699" s="3" t="str">
        <f t="shared" si="63"/>
        <v>Q1</v>
      </c>
      <c r="T699" s="3" t="str">
        <f t="shared" si="64"/>
        <v>Printer</v>
      </c>
    </row>
    <row r="700" spans="1:20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65"/>
        <v>776.44</v>
      </c>
      <c r="P700" t="str">
        <f t="shared" si="60"/>
        <v>Correct</v>
      </c>
      <c r="Q700" t="str">
        <f t="shared" si="61"/>
        <v>January</v>
      </c>
      <c r="R700" s="3">
        <f t="shared" si="62"/>
        <v>2023</v>
      </c>
      <c r="S700" s="3" t="str">
        <f t="shared" si="63"/>
        <v>Q1</v>
      </c>
      <c r="T700" s="3" t="str">
        <f t="shared" si="64"/>
        <v>Laptop</v>
      </c>
    </row>
    <row r="701" spans="1:20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65"/>
        <v>1842.4499999999998</v>
      </c>
      <c r="P701" t="str">
        <f t="shared" si="60"/>
        <v>Correct</v>
      </c>
      <c r="Q701" t="str">
        <f t="shared" si="61"/>
        <v>November</v>
      </c>
      <c r="R701" s="3">
        <f t="shared" si="62"/>
        <v>2023</v>
      </c>
      <c r="S701" s="3" t="str">
        <f t="shared" si="63"/>
        <v>Q4</v>
      </c>
      <c r="T701" s="3" t="str">
        <f t="shared" si="64"/>
        <v>Laptop</v>
      </c>
    </row>
    <row r="702" spans="1:20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65"/>
        <v>185.82</v>
      </c>
      <c r="P702" t="str">
        <f t="shared" si="60"/>
        <v>Correct</v>
      </c>
      <c r="Q702" t="str">
        <f t="shared" si="61"/>
        <v>September</v>
      </c>
      <c r="R702" s="3">
        <f t="shared" si="62"/>
        <v>2024</v>
      </c>
      <c r="S702" s="3" t="str">
        <f t="shared" si="63"/>
        <v>Q3</v>
      </c>
      <c r="T702" s="3" t="str">
        <f t="shared" si="64"/>
        <v>Laptop</v>
      </c>
    </row>
    <row r="703" spans="1:20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65"/>
        <v>276.65999999999997</v>
      </c>
      <c r="P703" t="str">
        <f t="shared" si="60"/>
        <v>Correct</v>
      </c>
      <c r="Q703" t="str">
        <f t="shared" si="61"/>
        <v>June</v>
      </c>
      <c r="R703" s="3">
        <f t="shared" si="62"/>
        <v>2024</v>
      </c>
      <c r="S703" s="3" t="str">
        <f t="shared" si="63"/>
        <v>Q2</v>
      </c>
      <c r="T703" s="3" t="str">
        <f t="shared" si="64"/>
        <v>Monitor</v>
      </c>
    </row>
    <row r="704" spans="1:20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65"/>
        <v>1687.6499999999999</v>
      </c>
      <c r="P704" t="str">
        <f t="shared" si="60"/>
        <v>Correct</v>
      </c>
      <c r="Q704" t="str">
        <f t="shared" si="61"/>
        <v>June</v>
      </c>
      <c r="R704" s="3">
        <f t="shared" si="62"/>
        <v>2024</v>
      </c>
      <c r="S704" s="3" t="str">
        <f t="shared" si="63"/>
        <v>Q2</v>
      </c>
      <c r="T704" s="3" t="str">
        <f t="shared" si="64"/>
        <v>Printer</v>
      </c>
    </row>
    <row r="705" spans="1:20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65"/>
        <v>92.79</v>
      </c>
      <c r="P705" t="str">
        <f t="shared" si="60"/>
        <v>Correct</v>
      </c>
      <c r="Q705" t="str">
        <f t="shared" si="61"/>
        <v>March</v>
      </c>
      <c r="R705" s="3">
        <f t="shared" si="62"/>
        <v>2023</v>
      </c>
      <c r="S705" s="3" t="str">
        <f t="shared" si="63"/>
        <v>Q1</v>
      </c>
      <c r="T705" s="3" t="str">
        <f t="shared" si="64"/>
        <v>Desk</v>
      </c>
    </row>
    <row r="706" spans="1:20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65"/>
        <v>121.08</v>
      </c>
      <c r="P706" t="str">
        <f t="shared" ref="P706:P769" si="66">IF(O706=N706,"Correct","Error")</f>
        <v>Correct</v>
      </c>
      <c r="Q706" t="str">
        <f t="shared" ref="Q706:Q769" si="67">TEXT(B706,"MMMM")</f>
        <v>June</v>
      </c>
      <c r="R706" s="3">
        <f t="shared" ref="R706:R769" si="68">YEAR(B706)</f>
        <v>2023</v>
      </c>
      <c r="S706" s="3" t="str">
        <f t="shared" ref="S706:S769" si="69">"Q"&amp;ROUNDUP(MONTH(B706)/3,0)</f>
        <v>Q2</v>
      </c>
      <c r="T706" s="3" t="str">
        <f t="shared" ref="T706:T769" si="70">TRIM(D706)</f>
        <v>Desk</v>
      </c>
    </row>
    <row r="707" spans="1:20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71">E707*F707</f>
        <v>98.16</v>
      </c>
      <c r="P707" t="str">
        <f t="shared" si="66"/>
        <v>Correct</v>
      </c>
      <c r="Q707" t="str">
        <f t="shared" si="67"/>
        <v>March</v>
      </c>
      <c r="R707" s="3">
        <f t="shared" si="68"/>
        <v>2025</v>
      </c>
      <c r="S707" s="3" t="str">
        <f t="shared" si="69"/>
        <v>Q1</v>
      </c>
      <c r="T707" s="3" t="str">
        <f t="shared" si="70"/>
        <v>Monitor</v>
      </c>
    </row>
    <row r="708" spans="1:20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71"/>
        <v>1140.45</v>
      </c>
      <c r="P708" t="str">
        <f t="shared" si="66"/>
        <v>Correct</v>
      </c>
      <c r="Q708" t="str">
        <f t="shared" si="67"/>
        <v>March</v>
      </c>
      <c r="R708" s="3">
        <f t="shared" si="68"/>
        <v>2025</v>
      </c>
      <c r="S708" s="3" t="str">
        <f t="shared" si="69"/>
        <v>Q1</v>
      </c>
      <c r="T708" s="3" t="str">
        <f t="shared" si="70"/>
        <v>Desk</v>
      </c>
    </row>
    <row r="709" spans="1:20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71"/>
        <v>2600.16</v>
      </c>
      <c r="P709" t="str">
        <f t="shared" si="66"/>
        <v>Correct</v>
      </c>
      <c r="Q709" t="str">
        <f t="shared" si="67"/>
        <v>November</v>
      </c>
      <c r="R709" s="3">
        <f t="shared" si="68"/>
        <v>2024</v>
      </c>
      <c r="S709" s="3" t="str">
        <f t="shared" si="69"/>
        <v>Q4</v>
      </c>
      <c r="T709" s="3" t="str">
        <f t="shared" si="70"/>
        <v>Chair</v>
      </c>
    </row>
    <row r="710" spans="1:20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71"/>
        <v>665.11</v>
      </c>
      <c r="P710" t="str">
        <f t="shared" si="66"/>
        <v>Correct</v>
      </c>
      <c r="Q710" t="str">
        <f t="shared" si="67"/>
        <v>March</v>
      </c>
      <c r="R710" s="3">
        <f t="shared" si="68"/>
        <v>2025</v>
      </c>
      <c r="S710" s="3" t="str">
        <f t="shared" si="69"/>
        <v>Q1</v>
      </c>
      <c r="T710" s="3" t="str">
        <f t="shared" si="70"/>
        <v>Printer</v>
      </c>
    </row>
    <row r="711" spans="1:20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71"/>
        <v>386.03</v>
      </c>
      <c r="P711" t="str">
        <f t="shared" si="66"/>
        <v>Correct</v>
      </c>
      <c r="Q711" t="str">
        <f t="shared" si="67"/>
        <v>December</v>
      </c>
      <c r="R711" s="3">
        <f t="shared" si="68"/>
        <v>2024</v>
      </c>
      <c r="S711" s="3" t="str">
        <f t="shared" si="69"/>
        <v>Q4</v>
      </c>
      <c r="T711" s="3" t="str">
        <f t="shared" si="70"/>
        <v>Desk</v>
      </c>
    </row>
    <row r="712" spans="1:20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71"/>
        <v>107.69999999999999</v>
      </c>
      <c r="P712" t="str">
        <f t="shared" si="66"/>
        <v>Correct</v>
      </c>
      <c r="Q712" t="str">
        <f t="shared" si="67"/>
        <v>July</v>
      </c>
      <c r="R712" s="3">
        <f t="shared" si="68"/>
        <v>2024</v>
      </c>
      <c r="S712" s="3" t="str">
        <f t="shared" si="69"/>
        <v>Q3</v>
      </c>
      <c r="T712" s="3" t="str">
        <f t="shared" si="70"/>
        <v>Laptop</v>
      </c>
    </row>
    <row r="713" spans="1:20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71"/>
        <v>951.56</v>
      </c>
      <c r="P713" t="str">
        <f t="shared" si="66"/>
        <v>Correct</v>
      </c>
      <c r="Q713" t="str">
        <f t="shared" si="67"/>
        <v>July</v>
      </c>
      <c r="R713" s="3">
        <f t="shared" si="68"/>
        <v>2024</v>
      </c>
      <c r="S713" s="3" t="str">
        <f t="shared" si="69"/>
        <v>Q3</v>
      </c>
      <c r="T713" s="3" t="str">
        <f t="shared" si="70"/>
        <v>Tablet</v>
      </c>
    </row>
    <row r="714" spans="1:20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71"/>
        <v>136.80000000000001</v>
      </c>
      <c r="P714" t="str">
        <f t="shared" si="66"/>
        <v>Correct</v>
      </c>
      <c r="Q714" t="str">
        <f t="shared" si="67"/>
        <v>January</v>
      </c>
      <c r="R714" s="3">
        <f t="shared" si="68"/>
        <v>2024</v>
      </c>
      <c r="S714" s="3" t="str">
        <f t="shared" si="69"/>
        <v>Q1</v>
      </c>
      <c r="T714" s="3" t="str">
        <f t="shared" si="70"/>
        <v>Tablet</v>
      </c>
    </row>
    <row r="715" spans="1:20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71"/>
        <v>2129.96</v>
      </c>
      <c r="P715" t="str">
        <f t="shared" si="66"/>
        <v>Correct</v>
      </c>
      <c r="Q715" t="str">
        <f t="shared" si="67"/>
        <v>June</v>
      </c>
      <c r="R715" s="3">
        <f t="shared" si="68"/>
        <v>2025</v>
      </c>
      <c r="S715" s="3" t="str">
        <f t="shared" si="69"/>
        <v>Q2</v>
      </c>
      <c r="T715" s="3" t="str">
        <f t="shared" si="70"/>
        <v>Tablet</v>
      </c>
    </row>
    <row r="716" spans="1:20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71"/>
        <v>51.73</v>
      </c>
      <c r="P716" t="str">
        <f t="shared" si="66"/>
        <v>Correct</v>
      </c>
      <c r="Q716" t="str">
        <f t="shared" si="67"/>
        <v>April</v>
      </c>
      <c r="R716" s="3">
        <f t="shared" si="68"/>
        <v>2023</v>
      </c>
      <c r="S716" s="3" t="str">
        <f t="shared" si="69"/>
        <v>Q2</v>
      </c>
      <c r="T716" s="3" t="str">
        <f t="shared" si="70"/>
        <v>Laptop</v>
      </c>
    </row>
    <row r="717" spans="1:20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71"/>
        <v>1960.8899999999999</v>
      </c>
      <c r="P717" t="str">
        <f t="shared" si="66"/>
        <v>Correct</v>
      </c>
      <c r="Q717" t="str">
        <f t="shared" si="67"/>
        <v>July</v>
      </c>
      <c r="R717" s="3">
        <f t="shared" si="68"/>
        <v>2024</v>
      </c>
      <c r="S717" s="3" t="str">
        <f t="shared" si="69"/>
        <v>Q3</v>
      </c>
      <c r="T717" s="3" t="str">
        <f t="shared" si="70"/>
        <v>Printer</v>
      </c>
    </row>
    <row r="718" spans="1:20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71"/>
        <v>1362.8700000000001</v>
      </c>
      <c r="P718" t="str">
        <f t="shared" si="66"/>
        <v>Correct</v>
      </c>
      <c r="Q718" t="str">
        <f t="shared" si="67"/>
        <v>June</v>
      </c>
      <c r="R718" s="3">
        <f t="shared" si="68"/>
        <v>2024</v>
      </c>
      <c r="S718" s="3" t="str">
        <f t="shared" si="69"/>
        <v>Q2</v>
      </c>
      <c r="T718" s="3" t="str">
        <f t="shared" si="70"/>
        <v>Chair</v>
      </c>
    </row>
    <row r="719" spans="1:20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71"/>
        <v>366.33</v>
      </c>
      <c r="P719" t="str">
        <f t="shared" si="66"/>
        <v>Correct</v>
      </c>
      <c r="Q719" t="str">
        <f t="shared" si="67"/>
        <v>October</v>
      </c>
      <c r="R719" s="3">
        <f t="shared" si="68"/>
        <v>2023</v>
      </c>
      <c r="S719" s="3" t="str">
        <f t="shared" si="69"/>
        <v>Q4</v>
      </c>
      <c r="T719" s="3" t="str">
        <f t="shared" si="70"/>
        <v>Chair</v>
      </c>
    </row>
    <row r="720" spans="1:20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71"/>
        <v>258.95999999999998</v>
      </c>
      <c r="P720" t="str">
        <f t="shared" si="66"/>
        <v>Correct</v>
      </c>
      <c r="Q720" t="str">
        <f t="shared" si="67"/>
        <v>April</v>
      </c>
      <c r="R720" s="3">
        <f t="shared" si="68"/>
        <v>2023</v>
      </c>
      <c r="S720" s="3" t="str">
        <f t="shared" si="69"/>
        <v>Q2</v>
      </c>
      <c r="T720" s="3" t="str">
        <f t="shared" si="70"/>
        <v>Laptop</v>
      </c>
    </row>
    <row r="721" spans="1:20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71"/>
        <v>1362.12</v>
      </c>
      <c r="P721" t="str">
        <f t="shared" si="66"/>
        <v>Correct</v>
      </c>
      <c r="Q721" t="str">
        <f t="shared" si="67"/>
        <v>January</v>
      </c>
      <c r="R721" s="3">
        <f t="shared" si="68"/>
        <v>2024</v>
      </c>
      <c r="S721" s="3" t="str">
        <f t="shared" si="69"/>
        <v>Q1</v>
      </c>
      <c r="T721" s="3" t="str">
        <f t="shared" si="70"/>
        <v>Laptop</v>
      </c>
    </row>
    <row r="722" spans="1:20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71"/>
        <v>644.75</v>
      </c>
      <c r="P722" t="str">
        <f t="shared" si="66"/>
        <v>Correct</v>
      </c>
      <c r="Q722" t="str">
        <f t="shared" si="67"/>
        <v>September</v>
      </c>
      <c r="R722" s="3">
        <f t="shared" si="68"/>
        <v>2023</v>
      </c>
      <c r="S722" s="3" t="str">
        <f t="shared" si="69"/>
        <v>Q3</v>
      </c>
      <c r="T722" s="3" t="str">
        <f t="shared" si="70"/>
        <v>Desk</v>
      </c>
    </row>
    <row r="723" spans="1:20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71"/>
        <v>237.18</v>
      </c>
      <c r="P723" t="str">
        <f t="shared" si="66"/>
        <v>Correct</v>
      </c>
      <c r="Q723" t="str">
        <f t="shared" si="67"/>
        <v>March</v>
      </c>
      <c r="R723" s="3">
        <f t="shared" si="68"/>
        <v>2024</v>
      </c>
      <c r="S723" s="3" t="str">
        <f t="shared" si="69"/>
        <v>Q1</v>
      </c>
      <c r="T723" s="3" t="str">
        <f t="shared" si="70"/>
        <v>Desk</v>
      </c>
    </row>
    <row r="724" spans="1:20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71"/>
        <v>95.1</v>
      </c>
      <c r="P724" t="str">
        <f t="shared" si="66"/>
        <v>Correct</v>
      </c>
      <c r="Q724" t="str">
        <f t="shared" si="67"/>
        <v>November</v>
      </c>
      <c r="R724" s="3">
        <f t="shared" si="68"/>
        <v>2024</v>
      </c>
      <c r="S724" s="3" t="str">
        <f t="shared" si="69"/>
        <v>Q4</v>
      </c>
      <c r="T724" s="3" t="str">
        <f t="shared" si="70"/>
        <v>Printer</v>
      </c>
    </row>
    <row r="725" spans="1:20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71"/>
        <v>164.85000000000002</v>
      </c>
      <c r="P725" t="str">
        <f t="shared" si="66"/>
        <v>Correct</v>
      </c>
      <c r="Q725" t="str">
        <f t="shared" si="67"/>
        <v>December</v>
      </c>
      <c r="R725" s="3">
        <f t="shared" si="68"/>
        <v>2023</v>
      </c>
      <c r="S725" s="3" t="str">
        <f t="shared" si="69"/>
        <v>Q4</v>
      </c>
      <c r="T725" s="3" t="str">
        <f t="shared" si="70"/>
        <v>Desk</v>
      </c>
    </row>
    <row r="726" spans="1:20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71"/>
        <v>410.90999999999997</v>
      </c>
      <c r="P726" t="str">
        <f t="shared" si="66"/>
        <v>Correct</v>
      </c>
      <c r="Q726" t="str">
        <f t="shared" si="67"/>
        <v>October</v>
      </c>
      <c r="R726" s="3">
        <f t="shared" si="68"/>
        <v>2024</v>
      </c>
      <c r="S726" s="3" t="str">
        <f t="shared" si="69"/>
        <v>Q4</v>
      </c>
      <c r="T726" s="3" t="str">
        <f t="shared" si="70"/>
        <v>Printer</v>
      </c>
    </row>
    <row r="727" spans="1:20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71"/>
        <v>389.7</v>
      </c>
      <c r="P727" t="str">
        <f t="shared" si="66"/>
        <v>Correct</v>
      </c>
      <c r="Q727" t="str">
        <f t="shared" si="67"/>
        <v>March</v>
      </c>
      <c r="R727" s="3">
        <f t="shared" si="68"/>
        <v>2023</v>
      </c>
      <c r="S727" s="3" t="str">
        <f t="shared" si="69"/>
        <v>Q1</v>
      </c>
      <c r="T727" s="3" t="str">
        <f t="shared" si="70"/>
        <v>Chair</v>
      </c>
    </row>
    <row r="728" spans="1:20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71"/>
        <v>2332.08</v>
      </c>
      <c r="P728" t="str">
        <f t="shared" si="66"/>
        <v>Correct</v>
      </c>
      <c r="Q728" t="str">
        <f t="shared" si="67"/>
        <v>October</v>
      </c>
      <c r="R728" s="3">
        <f t="shared" si="68"/>
        <v>2024</v>
      </c>
      <c r="S728" s="3" t="str">
        <f t="shared" si="69"/>
        <v>Q4</v>
      </c>
      <c r="T728" s="3" t="str">
        <f t="shared" si="70"/>
        <v>Laptop</v>
      </c>
    </row>
    <row r="729" spans="1:20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71"/>
        <v>478.75</v>
      </c>
      <c r="P729" t="str">
        <f t="shared" si="66"/>
        <v>Correct</v>
      </c>
      <c r="Q729" t="str">
        <f t="shared" si="67"/>
        <v>September</v>
      </c>
      <c r="R729" s="3">
        <f t="shared" si="68"/>
        <v>2024</v>
      </c>
      <c r="S729" s="3" t="str">
        <f t="shared" si="69"/>
        <v>Q3</v>
      </c>
      <c r="T729" s="3" t="str">
        <f t="shared" si="70"/>
        <v>Chair</v>
      </c>
    </row>
    <row r="730" spans="1:20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71"/>
        <v>1303.04</v>
      </c>
      <c r="P730" t="str">
        <f t="shared" si="66"/>
        <v>Correct</v>
      </c>
      <c r="Q730" t="str">
        <f t="shared" si="67"/>
        <v>July</v>
      </c>
      <c r="R730" s="3">
        <f t="shared" si="68"/>
        <v>2024</v>
      </c>
      <c r="S730" s="3" t="str">
        <f t="shared" si="69"/>
        <v>Q3</v>
      </c>
      <c r="T730" s="3" t="str">
        <f t="shared" si="70"/>
        <v>Desk</v>
      </c>
    </row>
    <row r="731" spans="1:20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71"/>
        <v>745.64</v>
      </c>
      <c r="P731" t="str">
        <f t="shared" si="66"/>
        <v>Correct</v>
      </c>
      <c r="Q731" t="str">
        <f t="shared" si="67"/>
        <v>September</v>
      </c>
      <c r="R731" s="3">
        <f t="shared" si="68"/>
        <v>2023</v>
      </c>
      <c r="S731" s="3" t="str">
        <f t="shared" si="69"/>
        <v>Q3</v>
      </c>
      <c r="T731" s="3" t="str">
        <f t="shared" si="70"/>
        <v>Phone</v>
      </c>
    </row>
    <row r="732" spans="1:20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71"/>
        <v>474.6</v>
      </c>
      <c r="P732" t="str">
        <f t="shared" si="66"/>
        <v>Correct</v>
      </c>
      <c r="Q732" t="str">
        <f t="shared" si="67"/>
        <v>February</v>
      </c>
      <c r="R732" s="3">
        <f t="shared" si="68"/>
        <v>2025</v>
      </c>
      <c r="S732" s="3" t="str">
        <f t="shared" si="69"/>
        <v>Q1</v>
      </c>
      <c r="T732" s="3" t="str">
        <f t="shared" si="70"/>
        <v>Phone</v>
      </c>
    </row>
    <row r="733" spans="1:20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71"/>
        <v>2922.3</v>
      </c>
      <c r="P733" t="str">
        <f t="shared" si="66"/>
        <v>Correct</v>
      </c>
      <c r="Q733" t="str">
        <f t="shared" si="67"/>
        <v>June</v>
      </c>
      <c r="R733" s="3">
        <f t="shared" si="68"/>
        <v>2024</v>
      </c>
      <c r="S733" s="3" t="str">
        <f t="shared" si="69"/>
        <v>Q2</v>
      </c>
      <c r="T733" s="3" t="str">
        <f t="shared" si="70"/>
        <v>Printer</v>
      </c>
    </row>
    <row r="734" spans="1:20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71"/>
        <v>132.05000000000001</v>
      </c>
      <c r="P734" t="str">
        <f t="shared" si="66"/>
        <v>Correct</v>
      </c>
      <c r="Q734" t="str">
        <f t="shared" si="67"/>
        <v>March</v>
      </c>
      <c r="R734" s="3">
        <f t="shared" si="68"/>
        <v>2025</v>
      </c>
      <c r="S734" s="3" t="str">
        <f t="shared" si="69"/>
        <v>Q1</v>
      </c>
      <c r="T734" s="3" t="str">
        <f t="shared" si="70"/>
        <v>Laptop</v>
      </c>
    </row>
    <row r="735" spans="1:20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71"/>
        <v>1979.36</v>
      </c>
      <c r="P735" t="str">
        <f t="shared" si="66"/>
        <v>Correct</v>
      </c>
      <c r="Q735" t="str">
        <f t="shared" si="67"/>
        <v>December</v>
      </c>
      <c r="R735" s="3">
        <f t="shared" si="68"/>
        <v>2023</v>
      </c>
      <c r="S735" s="3" t="str">
        <f t="shared" si="69"/>
        <v>Q4</v>
      </c>
      <c r="T735" s="3" t="str">
        <f t="shared" si="70"/>
        <v>Tablet</v>
      </c>
    </row>
    <row r="736" spans="1:20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71"/>
        <v>898.44</v>
      </c>
      <c r="P736" t="str">
        <f t="shared" si="66"/>
        <v>Correct</v>
      </c>
      <c r="Q736" t="str">
        <f t="shared" si="67"/>
        <v>January</v>
      </c>
      <c r="R736" s="3">
        <f t="shared" si="68"/>
        <v>2024</v>
      </c>
      <c r="S736" s="3" t="str">
        <f t="shared" si="69"/>
        <v>Q1</v>
      </c>
      <c r="T736" s="3" t="str">
        <f t="shared" si="70"/>
        <v>Printer</v>
      </c>
    </row>
    <row r="737" spans="1:20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71"/>
        <v>176.28</v>
      </c>
      <c r="P737" t="str">
        <f t="shared" si="66"/>
        <v>Correct</v>
      </c>
      <c r="Q737" t="str">
        <f t="shared" si="67"/>
        <v>June</v>
      </c>
      <c r="R737" s="3">
        <f t="shared" si="68"/>
        <v>2024</v>
      </c>
      <c r="S737" s="3" t="str">
        <f t="shared" si="69"/>
        <v>Q2</v>
      </c>
      <c r="T737" s="3" t="str">
        <f t="shared" si="70"/>
        <v>Monitor</v>
      </c>
    </row>
    <row r="738" spans="1:20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71"/>
        <v>2092.6499999999996</v>
      </c>
      <c r="P738" t="str">
        <f t="shared" si="66"/>
        <v>Correct</v>
      </c>
      <c r="Q738" t="str">
        <f t="shared" si="67"/>
        <v>February</v>
      </c>
      <c r="R738" s="3">
        <f t="shared" si="68"/>
        <v>2024</v>
      </c>
      <c r="S738" s="3" t="str">
        <f t="shared" si="69"/>
        <v>Q1</v>
      </c>
      <c r="T738" s="3" t="str">
        <f t="shared" si="70"/>
        <v>Monitor</v>
      </c>
    </row>
    <row r="739" spans="1:20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71"/>
        <v>2131.48</v>
      </c>
      <c r="P739" t="str">
        <f t="shared" si="66"/>
        <v>Correct</v>
      </c>
      <c r="Q739" t="str">
        <f t="shared" si="67"/>
        <v>January</v>
      </c>
      <c r="R739" s="3">
        <f t="shared" si="68"/>
        <v>2024</v>
      </c>
      <c r="S739" s="3" t="str">
        <f t="shared" si="69"/>
        <v>Q1</v>
      </c>
      <c r="T739" s="3" t="str">
        <f t="shared" si="70"/>
        <v>Phone</v>
      </c>
    </row>
    <row r="740" spans="1:20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71"/>
        <v>970.74</v>
      </c>
      <c r="P740" t="str">
        <f t="shared" si="66"/>
        <v>Correct</v>
      </c>
      <c r="Q740" t="str">
        <f t="shared" si="67"/>
        <v>June</v>
      </c>
      <c r="R740" s="3">
        <f t="shared" si="68"/>
        <v>2025</v>
      </c>
      <c r="S740" s="3" t="str">
        <f t="shared" si="69"/>
        <v>Q2</v>
      </c>
      <c r="T740" s="3" t="str">
        <f t="shared" si="70"/>
        <v>Phone</v>
      </c>
    </row>
    <row r="741" spans="1:20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71"/>
        <v>1546.92</v>
      </c>
      <c r="P741" t="str">
        <f t="shared" si="66"/>
        <v>Correct</v>
      </c>
      <c r="Q741" t="str">
        <f t="shared" si="67"/>
        <v>June</v>
      </c>
      <c r="R741" s="3">
        <f t="shared" si="68"/>
        <v>2024</v>
      </c>
      <c r="S741" s="3" t="str">
        <f t="shared" si="69"/>
        <v>Q2</v>
      </c>
      <c r="T741" s="3" t="str">
        <f t="shared" si="70"/>
        <v>Phone</v>
      </c>
    </row>
    <row r="742" spans="1:20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71"/>
        <v>754.94</v>
      </c>
      <c r="P742" t="str">
        <f t="shared" si="66"/>
        <v>Correct</v>
      </c>
      <c r="Q742" t="str">
        <f t="shared" si="67"/>
        <v>July</v>
      </c>
      <c r="R742" s="3">
        <f t="shared" si="68"/>
        <v>2024</v>
      </c>
      <c r="S742" s="3" t="str">
        <f t="shared" si="69"/>
        <v>Q3</v>
      </c>
      <c r="T742" s="3" t="str">
        <f t="shared" si="70"/>
        <v>Desk</v>
      </c>
    </row>
    <row r="743" spans="1:20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71"/>
        <v>1663.1999999999998</v>
      </c>
      <c r="P743" t="str">
        <f t="shared" si="66"/>
        <v>Correct</v>
      </c>
      <c r="Q743" t="str">
        <f t="shared" si="67"/>
        <v>January</v>
      </c>
      <c r="R743" s="3">
        <f t="shared" si="68"/>
        <v>2025</v>
      </c>
      <c r="S743" s="3" t="str">
        <f t="shared" si="69"/>
        <v>Q1</v>
      </c>
      <c r="T743" s="3" t="str">
        <f t="shared" si="70"/>
        <v>Monitor</v>
      </c>
    </row>
    <row r="744" spans="1:20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71"/>
        <v>2099.79</v>
      </c>
      <c r="P744" t="str">
        <f t="shared" si="66"/>
        <v>Correct</v>
      </c>
      <c r="Q744" t="str">
        <f t="shared" si="67"/>
        <v>November</v>
      </c>
      <c r="R744" s="3">
        <f t="shared" si="68"/>
        <v>2024</v>
      </c>
      <c r="S744" s="3" t="str">
        <f t="shared" si="69"/>
        <v>Q4</v>
      </c>
      <c r="T744" s="3" t="str">
        <f t="shared" si="70"/>
        <v>Laptop</v>
      </c>
    </row>
    <row r="745" spans="1:20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71"/>
        <v>576.35</v>
      </c>
      <c r="P745" t="str">
        <f t="shared" si="66"/>
        <v>Correct</v>
      </c>
      <c r="Q745" t="str">
        <f t="shared" si="67"/>
        <v>September</v>
      </c>
      <c r="R745" s="3">
        <f t="shared" si="68"/>
        <v>2024</v>
      </c>
      <c r="S745" s="3" t="str">
        <f t="shared" si="69"/>
        <v>Q3</v>
      </c>
      <c r="T745" s="3" t="str">
        <f t="shared" si="70"/>
        <v>Monitor</v>
      </c>
    </row>
    <row r="746" spans="1:20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71"/>
        <v>922.74</v>
      </c>
      <c r="P746" t="str">
        <f t="shared" si="66"/>
        <v>Correct</v>
      </c>
      <c r="Q746" t="str">
        <f t="shared" si="67"/>
        <v>June</v>
      </c>
      <c r="R746" s="3">
        <f t="shared" si="68"/>
        <v>2024</v>
      </c>
      <c r="S746" s="3" t="str">
        <f t="shared" si="69"/>
        <v>Q2</v>
      </c>
      <c r="T746" s="3" t="str">
        <f t="shared" si="70"/>
        <v>Tablet</v>
      </c>
    </row>
    <row r="747" spans="1:20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71"/>
        <v>445.2</v>
      </c>
      <c r="P747" t="str">
        <f t="shared" si="66"/>
        <v>Correct</v>
      </c>
      <c r="Q747" t="str">
        <f t="shared" si="67"/>
        <v>March</v>
      </c>
      <c r="R747" s="3">
        <f t="shared" si="68"/>
        <v>2023</v>
      </c>
      <c r="S747" s="3" t="str">
        <f t="shared" si="69"/>
        <v>Q1</v>
      </c>
      <c r="T747" s="3" t="str">
        <f t="shared" si="70"/>
        <v>Printer</v>
      </c>
    </row>
    <row r="748" spans="1:20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71"/>
        <v>1985.67</v>
      </c>
      <c r="P748" t="str">
        <f t="shared" si="66"/>
        <v>Correct</v>
      </c>
      <c r="Q748" t="str">
        <f t="shared" si="67"/>
        <v>February</v>
      </c>
      <c r="R748" s="3">
        <f t="shared" si="68"/>
        <v>2025</v>
      </c>
      <c r="S748" s="3" t="str">
        <f t="shared" si="69"/>
        <v>Q1</v>
      </c>
      <c r="T748" s="3" t="str">
        <f t="shared" si="70"/>
        <v>Desk</v>
      </c>
    </row>
    <row r="749" spans="1:20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71"/>
        <v>519.16</v>
      </c>
      <c r="P749" t="str">
        <f t="shared" si="66"/>
        <v>Correct</v>
      </c>
      <c r="Q749" t="str">
        <f t="shared" si="67"/>
        <v>March</v>
      </c>
      <c r="R749" s="3">
        <f t="shared" si="68"/>
        <v>2025</v>
      </c>
      <c r="S749" s="3" t="str">
        <f t="shared" si="69"/>
        <v>Q1</v>
      </c>
      <c r="T749" s="3" t="str">
        <f t="shared" si="70"/>
        <v>Tablet</v>
      </c>
    </row>
    <row r="750" spans="1:20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71"/>
        <v>212.43</v>
      </c>
      <c r="P750" t="str">
        <f t="shared" si="66"/>
        <v>Correct</v>
      </c>
      <c r="Q750" t="str">
        <f t="shared" si="67"/>
        <v>July</v>
      </c>
      <c r="R750" s="3">
        <f t="shared" si="68"/>
        <v>2024</v>
      </c>
      <c r="S750" s="3" t="str">
        <f t="shared" si="69"/>
        <v>Q3</v>
      </c>
      <c r="T750" s="3" t="str">
        <f t="shared" si="70"/>
        <v>Tablet</v>
      </c>
    </row>
    <row r="751" spans="1:20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71"/>
        <v>518.39</v>
      </c>
      <c r="P751" t="str">
        <f t="shared" si="66"/>
        <v>Correct</v>
      </c>
      <c r="Q751" t="str">
        <f t="shared" si="67"/>
        <v>April</v>
      </c>
      <c r="R751" s="3">
        <f t="shared" si="68"/>
        <v>2025</v>
      </c>
      <c r="S751" s="3" t="str">
        <f t="shared" si="69"/>
        <v>Q2</v>
      </c>
      <c r="T751" s="3" t="str">
        <f t="shared" si="70"/>
        <v>Laptop</v>
      </c>
    </row>
    <row r="752" spans="1:20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71"/>
        <v>581.64</v>
      </c>
      <c r="P752" t="str">
        <f t="shared" si="66"/>
        <v>Correct</v>
      </c>
      <c r="Q752" t="str">
        <f t="shared" si="67"/>
        <v>January</v>
      </c>
      <c r="R752" s="3">
        <f t="shared" si="68"/>
        <v>2023</v>
      </c>
      <c r="S752" s="3" t="str">
        <f t="shared" si="69"/>
        <v>Q1</v>
      </c>
      <c r="T752" s="3" t="str">
        <f t="shared" si="70"/>
        <v>Tablet</v>
      </c>
    </row>
    <row r="753" spans="1:20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71"/>
        <v>1199.72</v>
      </c>
      <c r="P753" t="str">
        <f t="shared" si="66"/>
        <v>Correct</v>
      </c>
      <c r="Q753" t="str">
        <f t="shared" si="67"/>
        <v>January</v>
      </c>
      <c r="R753" s="3">
        <f t="shared" si="68"/>
        <v>2023</v>
      </c>
      <c r="S753" s="3" t="str">
        <f t="shared" si="69"/>
        <v>Q1</v>
      </c>
      <c r="T753" s="3" t="str">
        <f t="shared" si="70"/>
        <v>Tablet</v>
      </c>
    </row>
    <row r="754" spans="1:20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71"/>
        <v>1717.48</v>
      </c>
      <c r="P754" t="str">
        <f t="shared" si="66"/>
        <v>Correct</v>
      </c>
      <c r="Q754" t="str">
        <f t="shared" si="67"/>
        <v>October</v>
      </c>
      <c r="R754" s="3">
        <f t="shared" si="68"/>
        <v>2024</v>
      </c>
      <c r="S754" s="3" t="str">
        <f t="shared" si="69"/>
        <v>Q4</v>
      </c>
      <c r="T754" s="3" t="str">
        <f t="shared" si="70"/>
        <v>Phone</v>
      </c>
    </row>
    <row r="755" spans="1:20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71"/>
        <v>482.98</v>
      </c>
      <c r="P755" t="str">
        <f t="shared" si="66"/>
        <v>Correct</v>
      </c>
      <c r="Q755" t="str">
        <f t="shared" si="67"/>
        <v>April</v>
      </c>
      <c r="R755" s="3">
        <f t="shared" si="68"/>
        <v>2024</v>
      </c>
      <c r="S755" s="3" t="str">
        <f t="shared" si="69"/>
        <v>Q2</v>
      </c>
      <c r="T755" s="3" t="str">
        <f t="shared" si="70"/>
        <v>Phone</v>
      </c>
    </row>
    <row r="756" spans="1:20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71"/>
        <v>904.1</v>
      </c>
      <c r="P756" t="str">
        <f t="shared" si="66"/>
        <v>Correct</v>
      </c>
      <c r="Q756" t="str">
        <f t="shared" si="67"/>
        <v>May</v>
      </c>
      <c r="R756" s="3">
        <f t="shared" si="68"/>
        <v>2025</v>
      </c>
      <c r="S756" s="3" t="str">
        <f t="shared" si="69"/>
        <v>Q2</v>
      </c>
      <c r="T756" s="3" t="str">
        <f t="shared" si="70"/>
        <v>Printer</v>
      </c>
    </row>
    <row r="757" spans="1:20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71"/>
        <v>1010.1299999999999</v>
      </c>
      <c r="P757" t="str">
        <f t="shared" si="66"/>
        <v>Correct</v>
      </c>
      <c r="Q757" t="str">
        <f t="shared" si="67"/>
        <v>June</v>
      </c>
      <c r="R757" s="3">
        <f t="shared" si="68"/>
        <v>2023</v>
      </c>
      <c r="S757" s="3" t="str">
        <f t="shared" si="69"/>
        <v>Q2</v>
      </c>
      <c r="T757" s="3" t="str">
        <f t="shared" si="70"/>
        <v>Desk</v>
      </c>
    </row>
    <row r="758" spans="1:20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71"/>
        <v>283.69</v>
      </c>
      <c r="P758" t="str">
        <f t="shared" si="66"/>
        <v>Correct</v>
      </c>
      <c r="Q758" t="str">
        <f t="shared" si="67"/>
        <v>June</v>
      </c>
      <c r="R758" s="3">
        <f t="shared" si="68"/>
        <v>2024</v>
      </c>
      <c r="S758" s="3" t="str">
        <f t="shared" si="69"/>
        <v>Q2</v>
      </c>
      <c r="T758" s="3" t="str">
        <f t="shared" si="70"/>
        <v>Phone</v>
      </c>
    </row>
    <row r="759" spans="1:20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71"/>
        <v>157.72</v>
      </c>
      <c r="P759" t="str">
        <f t="shared" si="66"/>
        <v>Correct</v>
      </c>
      <c r="Q759" t="str">
        <f t="shared" si="67"/>
        <v>February</v>
      </c>
      <c r="R759" s="3">
        <f t="shared" si="68"/>
        <v>2024</v>
      </c>
      <c r="S759" s="3" t="str">
        <f t="shared" si="69"/>
        <v>Q1</v>
      </c>
      <c r="T759" s="3" t="str">
        <f t="shared" si="70"/>
        <v>Desk</v>
      </c>
    </row>
    <row r="760" spans="1:20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71"/>
        <v>1874.52</v>
      </c>
      <c r="P760" t="str">
        <f t="shared" si="66"/>
        <v>Correct</v>
      </c>
      <c r="Q760" t="str">
        <f t="shared" si="67"/>
        <v>March</v>
      </c>
      <c r="R760" s="3">
        <f t="shared" si="68"/>
        <v>2023</v>
      </c>
      <c r="S760" s="3" t="str">
        <f t="shared" si="69"/>
        <v>Q1</v>
      </c>
      <c r="T760" s="3" t="str">
        <f t="shared" si="70"/>
        <v>Tablet</v>
      </c>
    </row>
    <row r="761" spans="1:20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71"/>
        <v>924.03</v>
      </c>
      <c r="P761" t="str">
        <f t="shared" si="66"/>
        <v>Correct</v>
      </c>
      <c r="Q761" t="str">
        <f t="shared" si="67"/>
        <v>July</v>
      </c>
      <c r="R761" s="3">
        <f t="shared" si="68"/>
        <v>2023</v>
      </c>
      <c r="S761" s="3" t="str">
        <f t="shared" si="69"/>
        <v>Q3</v>
      </c>
      <c r="T761" s="3" t="str">
        <f t="shared" si="70"/>
        <v>Desk</v>
      </c>
    </row>
    <row r="762" spans="1:20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71"/>
        <v>39.56</v>
      </c>
      <c r="P762" t="str">
        <f t="shared" si="66"/>
        <v>Correct</v>
      </c>
      <c r="Q762" t="str">
        <f t="shared" si="67"/>
        <v>February</v>
      </c>
      <c r="R762" s="3">
        <f t="shared" si="68"/>
        <v>2025</v>
      </c>
      <c r="S762" s="3" t="str">
        <f t="shared" si="69"/>
        <v>Q1</v>
      </c>
      <c r="T762" s="3" t="str">
        <f t="shared" si="70"/>
        <v>Desk</v>
      </c>
    </row>
    <row r="763" spans="1:20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71"/>
        <v>151.04</v>
      </c>
      <c r="P763" t="str">
        <f t="shared" si="66"/>
        <v>Correct</v>
      </c>
      <c r="Q763" t="str">
        <f t="shared" si="67"/>
        <v>June</v>
      </c>
      <c r="R763" s="3">
        <f t="shared" si="68"/>
        <v>2023</v>
      </c>
      <c r="S763" s="3" t="str">
        <f t="shared" si="69"/>
        <v>Q2</v>
      </c>
      <c r="T763" s="3" t="str">
        <f t="shared" si="70"/>
        <v>Desk</v>
      </c>
    </row>
    <row r="764" spans="1:20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71"/>
        <v>230.88</v>
      </c>
      <c r="P764" t="str">
        <f t="shared" si="66"/>
        <v>Correct</v>
      </c>
      <c r="Q764" t="str">
        <f t="shared" si="67"/>
        <v>September</v>
      </c>
      <c r="R764" s="3">
        <f t="shared" si="68"/>
        <v>2024</v>
      </c>
      <c r="S764" s="3" t="str">
        <f t="shared" si="69"/>
        <v>Q3</v>
      </c>
      <c r="T764" s="3" t="str">
        <f t="shared" si="70"/>
        <v>Phone</v>
      </c>
    </row>
    <row r="765" spans="1:20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71"/>
        <v>569.96</v>
      </c>
      <c r="P765" t="str">
        <f t="shared" si="66"/>
        <v>Correct</v>
      </c>
      <c r="Q765" t="str">
        <f t="shared" si="67"/>
        <v>April</v>
      </c>
      <c r="R765" s="3">
        <f t="shared" si="68"/>
        <v>2023</v>
      </c>
      <c r="S765" s="3" t="str">
        <f t="shared" si="69"/>
        <v>Q2</v>
      </c>
      <c r="T765" s="3" t="str">
        <f t="shared" si="70"/>
        <v>Laptop</v>
      </c>
    </row>
    <row r="766" spans="1:20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71"/>
        <v>3137.1499999999996</v>
      </c>
      <c r="P766" t="str">
        <f t="shared" si="66"/>
        <v>Correct</v>
      </c>
      <c r="Q766" t="str">
        <f t="shared" si="67"/>
        <v>March</v>
      </c>
      <c r="R766" s="3">
        <f t="shared" si="68"/>
        <v>2024</v>
      </c>
      <c r="S766" s="3" t="str">
        <f t="shared" si="69"/>
        <v>Q1</v>
      </c>
      <c r="T766" s="3" t="str">
        <f t="shared" si="70"/>
        <v>Laptop</v>
      </c>
    </row>
    <row r="767" spans="1:20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71"/>
        <v>1069.82</v>
      </c>
      <c r="P767" t="str">
        <f t="shared" si="66"/>
        <v>Correct</v>
      </c>
      <c r="Q767" t="str">
        <f t="shared" si="67"/>
        <v>October</v>
      </c>
      <c r="R767" s="3">
        <f t="shared" si="68"/>
        <v>2023</v>
      </c>
      <c r="S767" s="3" t="str">
        <f t="shared" si="69"/>
        <v>Q4</v>
      </c>
      <c r="T767" s="3" t="str">
        <f t="shared" si="70"/>
        <v>Laptop</v>
      </c>
    </row>
    <row r="768" spans="1:20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71"/>
        <v>557.76</v>
      </c>
      <c r="P768" t="str">
        <f t="shared" si="66"/>
        <v>Correct</v>
      </c>
      <c r="Q768" t="str">
        <f t="shared" si="67"/>
        <v>January</v>
      </c>
      <c r="R768" s="3">
        <f t="shared" si="68"/>
        <v>2023</v>
      </c>
      <c r="S768" s="3" t="str">
        <f t="shared" si="69"/>
        <v>Q1</v>
      </c>
      <c r="T768" s="3" t="str">
        <f t="shared" si="70"/>
        <v>Printer</v>
      </c>
    </row>
    <row r="769" spans="1:20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71"/>
        <v>646.44000000000005</v>
      </c>
      <c r="P769" t="str">
        <f t="shared" si="66"/>
        <v>Correct</v>
      </c>
      <c r="Q769" t="str">
        <f t="shared" si="67"/>
        <v>April</v>
      </c>
      <c r="R769" s="3">
        <f t="shared" si="68"/>
        <v>2025</v>
      </c>
      <c r="S769" s="3" t="str">
        <f t="shared" si="69"/>
        <v>Q2</v>
      </c>
      <c r="T769" s="3" t="str">
        <f t="shared" si="70"/>
        <v>Tablet</v>
      </c>
    </row>
    <row r="770" spans="1:20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71"/>
        <v>3267.3</v>
      </c>
      <c r="P770" t="str">
        <f t="shared" ref="P770:P833" si="72">IF(O770=N770,"Correct","Error")</f>
        <v>Correct</v>
      </c>
      <c r="Q770" t="str">
        <f t="shared" ref="Q770:Q833" si="73">TEXT(B770,"MMMM")</f>
        <v>September</v>
      </c>
      <c r="R770" s="3">
        <f t="shared" ref="R770:R833" si="74">YEAR(B770)</f>
        <v>2023</v>
      </c>
      <c r="S770" s="3" t="str">
        <f t="shared" ref="S770:S833" si="75">"Q"&amp;ROUNDUP(MONTH(B770)/3,0)</f>
        <v>Q3</v>
      </c>
      <c r="T770" s="3" t="str">
        <f t="shared" ref="T770:T833" si="76">TRIM(D770)</f>
        <v>Tablet</v>
      </c>
    </row>
    <row r="771" spans="1:20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77">E771*F771</f>
        <v>2714.2</v>
      </c>
      <c r="P771" t="str">
        <f t="shared" si="72"/>
        <v>Correct</v>
      </c>
      <c r="Q771" t="str">
        <f t="shared" si="73"/>
        <v>July</v>
      </c>
      <c r="R771" s="3">
        <f t="shared" si="74"/>
        <v>2023</v>
      </c>
      <c r="S771" s="3" t="str">
        <f t="shared" si="75"/>
        <v>Q3</v>
      </c>
      <c r="T771" s="3" t="str">
        <f t="shared" si="76"/>
        <v>Printer</v>
      </c>
    </row>
    <row r="772" spans="1:20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77"/>
        <v>314.38</v>
      </c>
      <c r="P772" t="str">
        <f t="shared" si="72"/>
        <v>Correct</v>
      </c>
      <c r="Q772" t="str">
        <f t="shared" si="73"/>
        <v>February</v>
      </c>
      <c r="R772" s="3">
        <f t="shared" si="74"/>
        <v>2024</v>
      </c>
      <c r="S772" s="3" t="str">
        <f t="shared" si="75"/>
        <v>Q1</v>
      </c>
      <c r="T772" s="3" t="str">
        <f t="shared" si="76"/>
        <v>Desk</v>
      </c>
    </row>
    <row r="773" spans="1:20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77"/>
        <v>2077.3200000000002</v>
      </c>
      <c r="P773" t="str">
        <f t="shared" si="72"/>
        <v>Correct</v>
      </c>
      <c r="Q773" t="str">
        <f t="shared" si="73"/>
        <v>June</v>
      </c>
      <c r="R773" s="3">
        <f t="shared" si="74"/>
        <v>2024</v>
      </c>
      <c r="S773" s="3" t="str">
        <f t="shared" si="75"/>
        <v>Q2</v>
      </c>
      <c r="T773" s="3" t="str">
        <f t="shared" si="76"/>
        <v>Phone</v>
      </c>
    </row>
    <row r="774" spans="1:20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77"/>
        <v>604.87</v>
      </c>
      <c r="P774" t="str">
        <f t="shared" si="72"/>
        <v>Correct</v>
      </c>
      <c r="Q774" t="str">
        <f t="shared" si="73"/>
        <v>July</v>
      </c>
      <c r="R774" s="3">
        <f t="shared" si="74"/>
        <v>2024</v>
      </c>
      <c r="S774" s="3" t="str">
        <f t="shared" si="75"/>
        <v>Q3</v>
      </c>
      <c r="T774" s="3" t="str">
        <f t="shared" si="76"/>
        <v>Monitor</v>
      </c>
    </row>
    <row r="775" spans="1:20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77"/>
        <v>1024.6600000000001</v>
      </c>
      <c r="P775" t="str">
        <f t="shared" si="72"/>
        <v>Correct</v>
      </c>
      <c r="Q775" t="str">
        <f t="shared" si="73"/>
        <v>June</v>
      </c>
      <c r="R775" s="3">
        <f t="shared" si="74"/>
        <v>2025</v>
      </c>
      <c r="S775" s="3" t="str">
        <f t="shared" si="75"/>
        <v>Q2</v>
      </c>
      <c r="T775" s="3" t="str">
        <f t="shared" si="76"/>
        <v>Phone</v>
      </c>
    </row>
    <row r="776" spans="1:20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77"/>
        <v>61.62</v>
      </c>
      <c r="P776" t="str">
        <f t="shared" si="72"/>
        <v>Correct</v>
      </c>
      <c r="Q776" t="str">
        <f t="shared" si="73"/>
        <v>April</v>
      </c>
      <c r="R776" s="3">
        <f t="shared" si="74"/>
        <v>2025</v>
      </c>
      <c r="S776" s="3" t="str">
        <f t="shared" si="75"/>
        <v>Q2</v>
      </c>
      <c r="T776" s="3" t="str">
        <f t="shared" si="76"/>
        <v>Chair</v>
      </c>
    </row>
    <row r="777" spans="1:20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77"/>
        <v>1250.44</v>
      </c>
      <c r="P777" t="str">
        <f t="shared" si="72"/>
        <v>Correct</v>
      </c>
      <c r="Q777" t="str">
        <f t="shared" si="73"/>
        <v>March</v>
      </c>
      <c r="R777" s="3">
        <f t="shared" si="74"/>
        <v>2023</v>
      </c>
      <c r="S777" s="3" t="str">
        <f t="shared" si="75"/>
        <v>Q1</v>
      </c>
      <c r="T777" s="3" t="str">
        <f t="shared" si="76"/>
        <v>Phone</v>
      </c>
    </row>
    <row r="778" spans="1:20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77"/>
        <v>21.19</v>
      </c>
      <c r="P778" t="str">
        <f t="shared" si="72"/>
        <v>Correct</v>
      </c>
      <c r="Q778" t="str">
        <f t="shared" si="73"/>
        <v>August</v>
      </c>
      <c r="R778" s="3">
        <f t="shared" si="74"/>
        <v>2023</v>
      </c>
      <c r="S778" s="3" t="str">
        <f t="shared" si="75"/>
        <v>Q3</v>
      </c>
      <c r="T778" s="3" t="str">
        <f t="shared" si="76"/>
        <v>Tablet</v>
      </c>
    </row>
    <row r="779" spans="1:20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77"/>
        <v>322.45</v>
      </c>
      <c r="P779" t="str">
        <f t="shared" si="72"/>
        <v>Correct</v>
      </c>
      <c r="Q779" t="str">
        <f t="shared" si="73"/>
        <v>March</v>
      </c>
      <c r="R779" s="3">
        <f t="shared" si="74"/>
        <v>2025</v>
      </c>
      <c r="S779" s="3" t="str">
        <f t="shared" si="75"/>
        <v>Q1</v>
      </c>
      <c r="T779" s="3" t="str">
        <f t="shared" si="76"/>
        <v>Chair</v>
      </c>
    </row>
    <row r="780" spans="1:20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77"/>
        <v>987.4</v>
      </c>
      <c r="P780" t="str">
        <f t="shared" si="72"/>
        <v>Correct</v>
      </c>
      <c r="Q780" t="str">
        <f t="shared" si="73"/>
        <v>April</v>
      </c>
      <c r="R780" s="3">
        <f t="shared" si="74"/>
        <v>2023</v>
      </c>
      <c r="S780" s="3" t="str">
        <f t="shared" si="75"/>
        <v>Q2</v>
      </c>
      <c r="T780" s="3" t="str">
        <f t="shared" si="76"/>
        <v>Laptop</v>
      </c>
    </row>
    <row r="781" spans="1:20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77"/>
        <v>1766.22</v>
      </c>
      <c r="P781" t="str">
        <f t="shared" si="72"/>
        <v>Correct</v>
      </c>
      <c r="Q781" t="str">
        <f t="shared" si="73"/>
        <v>December</v>
      </c>
      <c r="R781" s="3">
        <f t="shared" si="74"/>
        <v>2023</v>
      </c>
      <c r="S781" s="3" t="str">
        <f t="shared" si="75"/>
        <v>Q4</v>
      </c>
      <c r="T781" s="3" t="str">
        <f t="shared" si="76"/>
        <v>Phone</v>
      </c>
    </row>
    <row r="782" spans="1:20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77"/>
        <v>737.92</v>
      </c>
      <c r="P782" t="str">
        <f t="shared" si="72"/>
        <v>Correct</v>
      </c>
      <c r="Q782" t="str">
        <f t="shared" si="73"/>
        <v>March</v>
      </c>
      <c r="R782" s="3">
        <f t="shared" si="74"/>
        <v>2024</v>
      </c>
      <c r="S782" s="3" t="str">
        <f t="shared" si="75"/>
        <v>Q1</v>
      </c>
      <c r="T782" s="3" t="str">
        <f t="shared" si="76"/>
        <v>Laptop</v>
      </c>
    </row>
    <row r="783" spans="1:20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77"/>
        <v>2621.3000000000002</v>
      </c>
      <c r="P783" t="str">
        <f t="shared" si="72"/>
        <v>Correct</v>
      </c>
      <c r="Q783" t="str">
        <f t="shared" si="73"/>
        <v>January</v>
      </c>
      <c r="R783" s="3">
        <f t="shared" si="74"/>
        <v>2024</v>
      </c>
      <c r="S783" s="3" t="str">
        <f t="shared" si="75"/>
        <v>Q1</v>
      </c>
      <c r="T783" s="3" t="str">
        <f t="shared" si="76"/>
        <v>Phone</v>
      </c>
    </row>
    <row r="784" spans="1:20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77"/>
        <v>987.26</v>
      </c>
      <c r="P784" t="str">
        <f t="shared" si="72"/>
        <v>Correct</v>
      </c>
      <c r="Q784" t="str">
        <f t="shared" si="73"/>
        <v>August</v>
      </c>
      <c r="R784" s="3">
        <f t="shared" si="74"/>
        <v>2024</v>
      </c>
      <c r="S784" s="3" t="str">
        <f t="shared" si="75"/>
        <v>Q3</v>
      </c>
      <c r="T784" s="3" t="str">
        <f t="shared" si="76"/>
        <v>Monitor</v>
      </c>
    </row>
    <row r="785" spans="1:20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77"/>
        <v>438.34</v>
      </c>
      <c r="P785" t="str">
        <f t="shared" si="72"/>
        <v>Correct</v>
      </c>
      <c r="Q785" t="str">
        <f t="shared" si="73"/>
        <v>May</v>
      </c>
      <c r="R785" s="3">
        <f t="shared" si="74"/>
        <v>2025</v>
      </c>
      <c r="S785" s="3" t="str">
        <f t="shared" si="75"/>
        <v>Q2</v>
      </c>
      <c r="T785" s="3" t="str">
        <f t="shared" si="76"/>
        <v>Printer</v>
      </c>
    </row>
    <row r="786" spans="1:20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77"/>
        <v>325.81</v>
      </c>
      <c r="P786" t="str">
        <f t="shared" si="72"/>
        <v>Correct</v>
      </c>
      <c r="Q786" t="str">
        <f t="shared" si="73"/>
        <v>May</v>
      </c>
      <c r="R786" s="3">
        <f t="shared" si="74"/>
        <v>2025</v>
      </c>
      <c r="S786" s="3" t="str">
        <f t="shared" si="75"/>
        <v>Q2</v>
      </c>
      <c r="T786" s="3" t="str">
        <f t="shared" si="76"/>
        <v>Laptop</v>
      </c>
    </row>
    <row r="787" spans="1:20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77"/>
        <v>176.1</v>
      </c>
      <c r="P787" t="str">
        <f t="shared" si="72"/>
        <v>Correct</v>
      </c>
      <c r="Q787" t="str">
        <f t="shared" si="73"/>
        <v>July</v>
      </c>
      <c r="R787" s="3">
        <f t="shared" si="74"/>
        <v>2023</v>
      </c>
      <c r="S787" s="3" t="str">
        <f t="shared" si="75"/>
        <v>Q3</v>
      </c>
      <c r="T787" s="3" t="str">
        <f t="shared" si="76"/>
        <v>Chair</v>
      </c>
    </row>
    <row r="788" spans="1:20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77"/>
        <v>226.55</v>
      </c>
      <c r="P788" t="str">
        <f t="shared" si="72"/>
        <v>Correct</v>
      </c>
      <c r="Q788" t="str">
        <f t="shared" si="73"/>
        <v>August</v>
      </c>
      <c r="R788" s="3">
        <f t="shared" si="74"/>
        <v>2023</v>
      </c>
      <c r="S788" s="3" t="str">
        <f t="shared" si="75"/>
        <v>Q3</v>
      </c>
      <c r="T788" s="3" t="str">
        <f t="shared" si="76"/>
        <v>Chair</v>
      </c>
    </row>
    <row r="789" spans="1:20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77"/>
        <v>887.84</v>
      </c>
      <c r="P789" t="str">
        <f t="shared" si="72"/>
        <v>Correct</v>
      </c>
      <c r="Q789" t="str">
        <f t="shared" si="73"/>
        <v>March</v>
      </c>
      <c r="R789" s="3">
        <f t="shared" si="74"/>
        <v>2024</v>
      </c>
      <c r="S789" s="3" t="str">
        <f t="shared" si="75"/>
        <v>Q1</v>
      </c>
      <c r="T789" s="3" t="str">
        <f t="shared" si="76"/>
        <v>Desk</v>
      </c>
    </row>
    <row r="790" spans="1:20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4283</v>
      </c>
      <c r="M790" t="s">
        <v>4278</v>
      </c>
      <c r="N790">
        <v>1202.8599999999999</v>
      </c>
      <c r="O790">
        <f t="shared" si="77"/>
        <v>1202.8599999999999</v>
      </c>
      <c r="P790" t="str">
        <f t="shared" si="72"/>
        <v>Correct</v>
      </c>
      <c r="Q790" t="str">
        <f t="shared" si="73"/>
        <v>November</v>
      </c>
      <c r="R790" s="3">
        <f t="shared" si="74"/>
        <v>2023</v>
      </c>
      <c r="S790" s="3" t="str">
        <f t="shared" si="75"/>
        <v>Q4</v>
      </c>
      <c r="T790" s="3" t="str">
        <f t="shared" si="76"/>
        <v>Chair</v>
      </c>
    </row>
    <row r="791" spans="1:20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77"/>
        <v>3456.3999999999996</v>
      </c>
      <c r="P791" t="str">
        <f t="shared" si="72"/>
        <v>Correct</v>
      </c>
      <c r="Q791" t="str">
        <f t="shared" si="73"/>
        <v>August</v>
      </c>
      <c r="R791" s="3">
        <f t="shared" si="74"/>
        <v>2023</v>
      </c>
      <c r="S791" s="3" t="str">
        <f t="shared" si="75"/>
        <v>Q3</v>
      </c>
      <c r="T791" s="3" t="str">
        <f t="shared" si="76"/>
        <v>Tablet</v>
      </c>
    </row>
    <row r="792" spans="1:20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77"/>
        <v>1671.56</v>
      </c>
      <c r="P792" t="str">
        <f t="shared" si="72"/>
        <v>Correct</v>
      </c>
      <c r="Q792" t="str">
        <f t="shared" si="73"/>
        <v>September</v>
      </c>
      <c r="R792" s="3">
        <f t="shared" si="74"/>
        <v>2024</v>
      </c>
      <c r="S792" s="3" t="str">
        <f t="shared" si="75"/>
        <v>Q3</v>
      </c>
      <c r="T792" s="3" t="str">
        <f t="shared" si="76"/>
        <v>Laptop</v>
      </c>
    </row>
    <row r="793" spans="1:20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77"/>
        <v>1637.12</v>
      </c>
      <c r="P793" t="str">
        <f t="shared" si="72"/>
        <v>Correct</v>
      </c>
      <c r="Q793" t="str">
        <f t="shared" si="73"/>
        <v>January</v>
      </c>
      <c r="R793" s="3">
        <f t="shared" si="74"/>
        <v>2024</v>
      </c>
      <c r="S793" s="3" t="str">
        <f t="shared" si="75"/>
        <v>Q1</v>
      </c>
      <c r="T793" s="3" t="str">
        <f t="shared" si="76"/>
        <v>Chair</v>
      </c>
    </row>
    <row r="794" spans="1:20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77"/>
        <v>712.7</v>
      </c>
      <c r="P794" t="str">
        <f t="shared" si="72"/>
        <v>Correct</v>
      </c>
      <c r="Q794" t="str">
        <f t="shared" si="73"/>
        <v>June</v>
      </c>
      <c r="R794" s="3">
        <f t="shared" si="74"/>
        <v>2023</v>
      </c>
      <c r="S794" s="3" t="str">
        <f t="shared" si="75"/>
        <v>Q2</v>
      </c>
      <c r="T794" s="3" t="str">
        <f t="shared" si="76"/>
        <v>Desk</v>
      </c>
    </row>
    <row r="795" spans="1:20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77"/>
        <v>851.1</v>
      </c>
      <c r="P795" t="str">
        <f t="shared" si="72"/>
        <v>Correct</v>
      </c>
      <c r="Q795" t="str">
        <f t="shared" si="73"/>
        <v>April</v>
      </c>
      <c r="R795" s="3">
        <f t="shared" si="74"/>
        <v>2024</v>
      </c>
      <c r="S795" s="3" t="str">
        <f t="shared" si="75"/>
        <v>Q2</v>
      </c>
      <c r="T795" s="3" t="str">
        <f t="shared" si="76"/>
        <v>Chair</v>
      </c>
    </row>
    <row r="796" spans="1:20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4283</v>
      </c>
      <c r="M796" t="s">
        <v>4278</v>
      </c>
      <c r="N796">
        <v>1539.4</v>
      </c>
      <c r="O796">
        <f t="shared" si="77"/>
        <v>1539.4</v>
      </c>
      <c r="P796" t="str">
        <f t="shared" si="72"/>
        <v>Correct</v>
      </c>
      <c r="Q796" t="str">
        <f t="shared" si="73"/>
        <v>March</v>
      </c>
      <c r="R796" s="3">
        <f t="shared" si="74"/>
        <v>2023</v>
      </c>
      <c r="S796" s="3" t="str">
        <f t="shared" si="75"/>
        <v>Q1</v>
      </c>
      <c r="T796" s="3" t="str">
        <f t="shared" si="76"/>
        <v>Printer</v>
      </c>
    </row>
    <row r="797" spans="1:20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77"/>
        <v>463.08</v>
      </c>
      <c r="P797" t="str">
        <f t="shared" si="72"/>
        <v>Correct</v>
      </c>
      <c r="Q797" t="str">
        <f t="shared" si="73"/>
        <v>November</v>
      </c>
      <c r="R797" s="3">
        <f t="shared" si="74"/>
        <v>2024</v>
      </c>
      <c r="S797" s="3" t="str">
        <f t="shared" si="75"/>
        <v>Q4</v>
      </c>
      <c r="T797" s="3" t="str">
        <f t="shared" si="76"/>
        <v>Laptop</v>
      </c>
    </row>
    <row r="798" spans="1:20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77"/>
        <v>1738.6499999999999</v>
      </c>
      <c r="P798" t="str">
        <f t="shared" si="72"/>
        <v>Correct</v>
      </c>
      <c r="Q798" t="str">
        <f t="shared" si="73"/>
        <v>April</v>
      </c>
      <c r="R798" s="3">
        <f t="shared" si="74"/>
        <v>2025</v>
      </c>
      <c r="S798" s="3" t="str">
        <f t="shared" si="75"/>
        <v>Q2</v>
      </c>
      <c r="T798" s="3" t="str">
        <f t="shared" si="76"/>
        <v>Phone</v>
      </c>
    </row>
    <row r="799" spans="1:20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77"/>
        <v>877.52</v>
      </c>
      <c r="P799" t="str">
        <f t="shared" si="72"/>
        <v>Correct</v>
      </c>
      <c r="Q799" t="str">
        <f t="shared" si="73"/>
        <v>February</v>
      </c>
      <c r="R799" s="3">
        <f t="shared" si="74"/>
        <v>2023</v>
      </c>
      <c r="S799" s="3" t="str">
        <f t="shared" si="75"/>
        <v>Q1</v>
      </c>
      <c r="T799" s="3" t="str">
        <f t="shared" si="76"/>
        <v>Laptop</v>
      </c>
    </row>
    <row r="800" spans="1:20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77"/>
        <v>2441.75</v>
      </c>
      <c r="P800" t="str">
        <f t="shared" si="72"/>
        <v>Correct</v>
      </c>
      <c r="Q800" t="str">
        <f t="shared" si="73"/>
        <v>May</v>
      </c>
      <c r="R800" s="3">
        <f t="shared" si="74"/>
        <v>2025</v>
      </c>
      <c r="S800" s="3" t="str">
        <f t="shared" si="75"/>
        <v>Q2</v>
      </c>
      <c r="T800" s="3" t="str">
        <f t="shared" si="76"/>
        <v>Phone</v>
      </c>
    </row>
    <row r="801" spans="1:20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77"/>
        <v>1314.24</v>
      </c>
      <c r="P801" t="str">
        <f t="shared" si="72"/>
        <v>Correct</v>
      </c>
      <c r="Q801" t="str">
        <f t="shared" si="73"/>
        <v>April</v>
      </c>
      <c r="R801" s="3">
        <f t="shared" si="74"/>
        <v>2023</v>
      </c>
      <c r="S801" s="3" t="str">
        <f t="shared" si="75"/>
        <v>Q2</v>
      </c>
      <c r="T801" s="3" t="str">
        <f t="shared" si="76"/>
        <v>Laptop</v>
      </c>
    </row>
    <row r="802" spans="1:20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77"/>
        <v>68.39</v>
      </c>
      <c r="P802" t="str">
        <f t="shared" si="72"/>
        <v>Correct</v>
      </c>
      <c r="Q802" t="str">
        <f t="shared" si="73"/>
        <v>March</v>
      </c>
      <c r="R802" s="3">
        <f t="shared" si="74"/>
        <v>2025</v>
      </c>
      <c r="S802" s="3" t="str">
        <f t="shared" si="75"/>
        <v>Q1</v>
      </c>
      <c r="T802" s="3" t="str">
        <f t="shared" si="76"/>
        <v>Tablet</v>
      </c>
    </row>
    <row r="803" spans="1:20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77"/>
        <v>2382.48</v>
      </c>
      <c r="P803" t="str">
        <f t="shared" si="72"/>
        <v>Correct</v>
      </c>
      <c r="Q803" t="str">
        <f t="shared" si="73"/>
        <v>May</v>
      </c>
      <c r="R803" s="3">
        <f t="shared" si="74"/>
        <v>2023</v>
      </c>
      <c r="S803" s="3" t="str">
        <f t="shared" si="75"/>
        <v>Q2</v>
      </c>
      <c r="T803" s="3" t="str">
        <f t="shared" si="76"/>
        <v>Printer</v>
      </c>
    </row>
    <row r="804" spans="1:20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77"/>
        <v>3223.2</v>
      </c>
      <c r="P804" t="str">
        <f t="shared" si="72"/>
        <v>Correct</v>
      </c>
      <c r="Q804" t="str">
        <f t="shared" si="73"/>
        <v>February</v>
      </c>
      <c r="R804" s="3">
        <f t="shared" si="74"/>
        <v>2024</v>
      </c>
      <c r="S804" s="3" t="str">
        <f t="shared" si="75"/>
        <v>Q1</v>
      </c>
      <c r="T804" s="3" t="str">
        <f t="shared" si="76"/>
        <v>Chair</v>
      </c>
    </row>
    <row r="805" spans="1:20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77"/>
        <v>1989.05</v>
      </c>
      <c r="P805" t="str">
        <f t="shared" si="72"/>
        <v>Correct</v>
      </c>
      <c r="Q805" t="str">
        <f t="shared" si="73"/>
        <v>August</v>
      </c>
      <c r="R805" s="3">
        <f t="shared" si="74"/>
        <v>2023</v>
      </c>
      <c r="S805" s="3" t="str">
        <f t="shared" si="75"/>
        <v>Q3</v>
      </c>
      <c r="T805" s="3" t="str">
        <f t="shared" si="76"/>
        <v>Monitor</v>
      </c>
    </row>
    <row r="806" spans="1:20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77"/>
        <v>709.5</v>
      </c>
      <c r="P806" t="str">
        <f t="shared" si="72"/>
        <v>Correct</v>
      </c>
      <c r="Q806" t="str">
        <f t="shared" si="73"/>
        <v>January</v>
      </c>
      <c r="R806" s="3">
        <f t="shared" si="74"/>
        <v>2024</v>
      </c>
      <c r="S806" s="3" t="str">
        <f t="shared" si="75"/>
        <v>Q1</v>
      </c>
      <c r="T806" s="3" t="str">
        <f t="shared" si="76"/>
        <v>Chair</v>
      </c>
    </row>
    <row r="807" spans="1:20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77"/>
        <v>2360.0500000000002</v>
      </c>
      <c r="P807" t="str">
        <f t="shared" si="72"/>
        <v>Correct</v>
      </c>
      <c r="Q807" t="str">
        <f t="shared" si="73"/>
        <v>October</v>
      </c>
      <c r="R807" s="3">
        <f t="shared" si="74"/>
        <v>2024</v>
      </c>
      <c r="S807" s="3" t="str">
        <f t="shared" si="75"/>
        <v>Q4</v>
      </c>
      <c r="T807" s="3" t="str">
        <f t="shared" si="76"/>
        <v>Laptop</v>
      </c>
    </row>
    <row r="808" spans="1:20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77"/>
        <v>1268.75</v>
      </c>
      <c r="P808" t="str">
        <f t="shared" si="72"/>
        <v>Correct</v>
      </c>
      <c r="Q808" t="str">
        <f t="shared" si="73"/>
        <v>September</v>
      </c>
      <c r="R808" s="3">
        <f t="shared" si="74"/>
        <v>2023</v>
      </c>
      <c r="S808" s="3" t="str">
        <f t="shared" si="75"/>
        <v>Q3</v>
      </c>
      <c r="T808" s="3" t="str">
        <f t="shared" si="76"/>
        <v>Chair</v>
      </c>
    </row>
    <row r="809" spans="1:20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77"/>
        <v>2028.63</v>
      </c>
      <c r="P809" t="str">
        <f t="shared" si="72"/>
        <v>Correct</v>
      </c>
      <c r="Q809" t="str">
        <f t="shared" si="73"/>
        <v>November</v>
      </c>
      <c r="R809" s="3">
        <f t="shared" si="74"/>
        <v>2024</v>
      </c>
      <c r="S809" s="3" t="str">
        <f t="shared" si="75"/>
        <v>Q4</v>
      </c>
      <c r="T809" s="3" t="str">
        <f t="shared" si="76"/>
        <v>Monitor</v>
      </c>
    </row>
    <row r="810" spans="1:20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77"/>
        <v>402.15000000000003</v>
      </c>
      <c r="P810" t="str">
        <f t="shared" si="72"/>
        <v>Correct</v>
      </c>
      <c r="Q810" t="str">
        <f t="shared" si="73"/>
        <v>February</v>
      </c>
      <c r="R810" s="3">
        <f t="shared" si="74"/>
        <v>2024</v>
      </c>
      <c r="S810" s="3" t="str">
        <f t="shared" si="75"/>
        <v>Q1</v>
      </c>
      <c r="T810" s="3" t="str">
        <f t="shared" si="76"/>
        <v>Desk</v>
      </c>
    </row>
    <row r="811" spans="1:20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77"/>
        <v>1087.1500000000001</v>
      </c>
      <c r="P811" t="str">
        <f t="shared" si="72"/>
        <v>Correct</v>
      </c>
      <c r="Q811" t="str">
        <f t="shared" si="73"/>
        <v>April</v>
      </c>
      <c r="R811" s="3">
        <f t="shared" si="74"/>
        <v>2024</v>
      </c>
      <c r="S811" s="3" t="str">
        <f t="shared" si="75"/>
        <v>Q2</v>
      </c>
      <c r="T811" s="3" t="str">
        <f t="shared" si="76"/>
        <v>Desk</v>
      </c>
    </row>
    <row r="812" spans="1:20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77"/>
        <v>553.55999999999995</v>
      </c>
      <c r="P812" t="str">
        <f t="shared" si="72"/>
        <v>Correct</v>
      </c>
      <c r="Q812" t="str">
        <f t="shared" si="73"/>
        <v>May</v>
      </c>
      <c r="R812" s="3">
        <f t="shared" si="74"/>
        <v>2023</v>
      </c>
      <c r="S812" s="3" t="str">
        <f t="shared" si="75"/>
        <v>Q2</v>
      </c>
      <c r="T812" s="3" t="str">
        <f t="shared" si="76"/>
        <v>Tablet</v>
      </c>
    </row>
    <row r="813" spans="1:20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77"/>
        <v>57.1</v>
      </c>
      <c r="P813" t="str">
        <f t="shared" si="72"/>
        <v>Correct</v>
      </c>
      <c r="Q813" t="str">
        <f t="shared" si="73"/>
        <v>November</v>
      </c>
      <c r="R813" s="3">
        <f t="shared" si="74"/>
        <v>2023</v>
      </c>
      <c r="S813" s="3" t="str">
        <f t="shared" si="75"/>
        <v>Q4</v>
      </c>
      <c r="T813" s="3" t="str">
        <f t="shared" si="76"/>
        <v>Laptop</v>
      </c>
    </row>
    <row r="814" spans="1:20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77"/>
        <v>510.52</v>
      </c>
      <c r="P814" t="str">
        <f t="shared" si="72"/>
        <v>Correct</v>
      </c>
      <c r="Q814" t="str">
        <f t="shared" si="73"/>
        <v>January</v>
      </c>
      <c r="R814" s="3">
        <f t="shared" si="74"/>
        <v>2024</v>
      </c>
      <c r="S814" s="3" t="str">
        <f t="shared" si="75"/>
        <v>Q1</v>
      </c>
      <c r="T814" s="3" t="str">
        <f t="shared" si="76"/>
        <v>Phone</v>
      </c>
    </row>
    <row r="815" spans="1:20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77"/>
        <v>1462.7</v>
      </c>
      <c r="P815" t="str">
        <f t="shared" si="72"/>
        <v>Correct</v>
      </c>
      <c r="Q815" t="str">
        <f t="shared" si="73"/>
        <v>March</v>
      </c>
      <c r="R815" s="3">
        <f t="shared" si="74"/>
        <v>2025</v>
      </c>
      <c r="S815" s="3" t="str">
        <f t="shared" si="75"/>
        <v>Q1</v>
      </c>
      <c r="T815" s="3" t="str">
        <f t="shared" si="76"/>
        <v>Laptop</v>
      </c>
    </row>
    <row r="816" spans="1:20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77"/>
        <v>590.04</v>
      </c>
      <c r="P816" t="str">
        <f t="shared" si="72"/>
        <v>Correct</v>
      </c>
      <c r="Q816" t="str">
        <f t="shared" si="73"/>
        <v>December</v>
      </c>
      <c r="R816" s="3">
        <f t="shared" si="74"/>
        <v>2024</v>
      </c>
      <c r="S816" s="3" t="str">
        <f t="shared" si="75"/>
        <v>Q4</v>
      </c>
      <c r="T816" s="3" t="str">
        <f t="shared" si="76"/>
        <v>Chair</v>
      </c>
    </row>
    <row r="817" spans="1:20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77"/>
        <v>1709.52</v>
      </c>
      <c r="P817" t="str">
        <f t="shared" si="72"/>
        <v>Correct</v>
      </c>
      <c r="Q817" t="str">
        <f t="shared" si="73"/>
        <v>August</v>
      </c>
      <c r="R817" s="3">
        <f t="shared" si="74"/>
        <v>2024</v>
      </c>
      <c r="S817" s="3" t="str">
        <f t="shared" si="75"/>
        <v>Q3</v>
      </c>
      <c r="T817" s="3" t="str">
        <f t="shared" si="76"/>
        <v>Printer</v>
      </c>
    </row>
    <row r="818" spans="1:20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77"/>
        <v>2873.95</v>
      </c>
      <c r="P818" t="str">
        <f t="shared" si="72"/>
        <v>Correct</v>
      </c>
      <c r="Q818" t="str">
        <f t="shared" si="73"/>
        <v>February</v>
      </c>
      <c r="R818" s="3">
        <f t="shared" si="74"/>
        <v>2024</v>
      </c>
      <c r="S818" s="3" t="str">
        <f t="shared" si="75"/>
        <v>Q1</v>
      </c>
      <c r="T818" s="3" t="str">
        <f t="shared" si="76"/>
        <v>Tablet</v>
      </c>
    </row>
    <row r="819" spans="1:20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77"/>
        <v>2392.7600000000002</v>
      </c>
      <c r="P819" t="str">
        <f t="shared" si="72"/>
        <v>Correct</v>
      </c>
      <c r="Q819" t="str">
        <f t="shared" si="73"/>
        <v>October</v>
      </c>
      <c r="R819" s="3">
        <f t="shared" si="74"/>
        <v>2023</v>
      </c>
      <c r="S819" s="3" t="str">
        <f t="shared" si="75"/>
        <v>Q4</v>
      </c>
      <c r="T819" s="3" t="str">
        <f t="shared" si="76"/>
        <v>Chair</v>
      </c>
    </row>
    <row r="820" spans="1:20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77"/>
        <v>1563.36</v>
      </c>
      <c r="P820" t="str">
        <f t="shared" si="72"/>
        <v>Correct</v>
      </c>
      <c r="Q820" t="str">
        <f t="shared" si="73"/>
        <v>March</v>
      </c>
      <c r="R820" s="3">
        <f t="shared" si="74"/>
        <v>2023</v>
      </c>
      <c r="S820" s="3" t="str">
        <f t="shared" si="75"/>
        <v>Q1</v>
      </c>
      <c r="T820" s="3" t="str">
        <f t="shared" si="76"/>
        <v>Phone</v>
      </c>
    </row>
    <row r="821" spans="1:20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77"/>
        <v>796.9</v>
      </c>
      <c r="P821" t="str">
        <f t="shared" si="72"/>
        <v>Correct</v>
      </c>
      <c r="Q821" t="str">
        <f t="shared" si="73"/>
        <v>September</v>
      </c>
      <c r="R821" s="3">
        <f t="shared" si="74"/>
        <v>2024</v>
      </c>
      <c r="S821" s="3" t="str">
        <f t="shared" si="75"/>
        <v>Q3</v>
      </c>
      <c r="T821" s="3" t="str">
        <f t="shared" si="76"/>
        <v>Phone</v>
      </c>
    </row>
    <row r="822" spans="1:20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77"/>
        <v>3119.0499999999997</v>
      </c>
      <c r="P822" t="str">
        <f t="shared" si="72"/>
        <v>Correct</v>
      </c>
      <c r="Q822" t="str">
        <f t="shared" si="73"/>
        <v>May</v>
      </c>
      <c r="R822" s="3">
        <f t="shared" si="74"/>
        <v>2023</v>
      </c>
      <c r="S822" s="3" t="str">
        <f t="shared" si="75"/>
        <v>Q2</v>
      </c>
      <c r="T822" s="3" t="str">
        <f t="shared" si="76"/>
        <v>Phone</v>
      </c>
    </row>
    <row r="823" spans="1:20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77"/>
        <v>697.96</v>
      </c>
      <c r="P823" t="str">
        <f t="shared" si="72"/>
        <v>Correct</v>
      </c>
      <c r="Q823" t="str">
        <f t="shared" si="73"/>
        <v>December</v>
      </c>
      <c r="R823" s="3">
        <f t="shared" si="74"/>
        <v>2024</v>
      </c>
      <c r="S823" s="3" t="str">
        <f t="shared" si="75"/>
        <v>Q4</v>
      </c>
      <c r="T823" s="3" t="str">
        <f t="shared" si="76"/>
        <v>Laptop</v>
      </c>
    </row>
    <row r="824" spans="1:20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77"/>
        <v>479.56</v>
      </c>
      <c r="P824" t="str">
        <f t="shared" si="72"/>
        <v>Correct</v>
      </c>
      <c r="Q824" t="str">
        <f t="shared" si="73"/>
        <v>March</v>
      </c>
      <c r="R824" s="3">
        <f t="shared" si="74"/>
        <v>2025</v>
      </c>
      <c r="S824" s="3" t="str">
        <f t="shared" si="75"/>
        <v>Q1</v>
      </c>
      <c r="T824" s="3" t="str">
        <f t="shared" si="76"/>
        <v>Phone</v>
      </c>
    </row>
    <row r="825" spans="1:20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77"/>
        <v>2612.52</v>
      </c>
      <c r="P825" t="str">
        <f t="shared" si="72"/>
        <v>Correct</v>
      </c>
      <c r="Q825" t="str">
        <f t="shared" si="73"/>
        <v>October</v>
      </c>
      <c r="R825" s="3">
        <f t="shared" si="74"/>
        <v>2024</v>
      </c>
      <c r="S825" s="3" t="str">
        <f t="shared" si="75"/>
        <v>Q4</v>
      </c>
      <c r="T825" s="3" t="str">
        <f t="shared" si="76"/>
        <v>Laptop</v>
      </c>
    </row>
    <row r="826" spans="1:20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77"/>
        <v>1443.3000000000002</v>
      </c>
      <c r="P826" t="str">
        <f t="shared" si="72"/>
        <v>Correct</v>
      </c>
      <c r="Q826" t="str">
        <f t="shared" si="73"/>
        <v>August</v>
      </c>
      <c r="R826" s="3">
        <f t="shared" si="74"/>
        <v>2023</v>
      </c>
      <c r="S826" s="3" t="str">
        <f t="shared" si="75"/>
        <v>Q3</v>
      </c>
      <c r="T826" s="3" t="str">
        <f t="shared" si="76"/>
        <v>Monitor</v>
      </c>
    </row>
    <row r="827" spans="1:20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77"/>
        <v>1358.45</v>
      </c>
      <c r="P827" t="str">
        <f t="shared" si="72"/>
        <v>Correct</v>
      </c>
      <c r="Q827" t="str">
        <f t="shared" si="73"/>
        <v>March</v>
      </c>
      <c r="R827" s="3">
        <f t="shared" si="74"/>
        <v>2025</v>
      </c>
      <c r="S827" s="3" t="str">
        <f t="shared" si="75"/>
        <v>Q1</v>
      </c>
      <c r="T827" s="3" t="str">
        <f t="shared" si="76"/>
        <v>Desk</v>
      </c>
    </row>
    <row r="828" spans="1:20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77"/>
        <v>1391.43</v>
      </c>
      <c r="P828" t="str">
        <f t="shared" si="72"/>
        <v>Correct</v>
      </c>
      <c r="Q828" t="str">
        <f t="shared" si="73"/>
        <v>March</v>
      </c>
      <c r="R828" s="3">
        <f t="shared" si="74"/>
        <v>2025</v>
      </c>
      <c r="S828" s="3" t="str">
        <f t="shared" si="75"/>
        <v>Q1</v>
      </c>
      <c r="T828" s="3" t="str">
        <f t="shared" si="76"/>
        <v>Printer</v>
      </c>
    </row>
    <row r="829" spans="1:20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77"/>
        <v>1279.76</v>
      </c>
      <c r="P829" t="str">
        <f t="shared" si="72"/>
        <v>Correct</v>
      </c>
      <c r="Q829" t="str">
        <f t="shared" si="73"/>
        <v>May</v>
      </c>
      <c r="R829" s="3">
        <f t="shared" si="74"/>
        <v>2023</v>
      </c>
      <c r="S829" s="3" t="str">
        <f t="shared" si="75"/>
        <v>Q2</v>
      </c>
      <c r="T829" s="3" t="str">
        <f t="shared" si="76"/>
        <v>Tablet</v>
      </c>
    </row>
    <row r="830" spans="1:20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77"/>
        <v>1618.32</v>
      </c>
      <c r="P830" t="str">
        <f t="shared" si="72"/>
        <v>Correct</v>
      </c>
      <c r="Q830" t="str">
        <f t="shared" si="73"/>
        <v>July</v>
      </c>
      <c r="R830" s="3">
        <f t="shared" si="74"/>
        <v>2024</v>
      </c>
      <c r="S830" s="3" t="str">
        <f t="shared" si="75"/>
        <v>Q3</v>
      </c>
      <c r="T830" s="3" t="str">
        <f t="shared" si="76"/>
        <v>Chair</v>
      </c>
    </row>
    <row r="831" spans="1:20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77"/>
        <v>76.930000000000007</v>
      </c>
      <c r="P831" t="str">
        <f t="shared" si="72"/>
        <v>Correct</v>
      </c>
      <c r="Q831" t="str">
        <f t="shared" si="73"/>
        <v>February</v>
      </c>
      <c r="R831" s="3">
        <f t="shared" si="74"/>
        <v>2023</v>
      </c>
      <c r="S831" s="3" t="str">
        <f t="shared" si="75"/>
        <v>Q1</v>
      </c>
      <c r="T831" s="3" t="str">
        <f t="shared" si="76"/>
        <v>Monitor</v>
      </c>
    </row>
    <row r="832" spans="1:20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77"/>
        <v>762.56</v>
      </c>
      <c r="P832" t="str">
        <f t="shared" si="72"/>
        <v>Correct</v>
      </c>
      <c r="Q832" t="str">
        <f t="shared" si="73"/>
        <v>December</v>
      </c>
      <c r="R832" s="3">
        <f t="shared" si="74"/>
        <v>2024</v>
      </c>
      <c r="S832" s="3" t="str">
        <f t="shared" si="75"/>
        <v>Q4</v>
      </c>
      <c r="T832" s="3" t="str">
        <f t="shared" si="76"/>
        <v>Tablet</v>
      </c>
    </row>
    <row r="833" spans="1:20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77"/>
        <v>177.46</v>
      </c>
      <c r="P833" t="str">
        <f t="shared" si="72"/>
        <v>Correct</v>
      </c>
      <c r="Q833" t="str">
        <f t="shared" si="73"/>
        <v>December</v>
      </c>
      <c r="R833" s="3">
        <f t="shared" si="74"/>
        <v>2023</v>
      </c>
      <c r="S833" s="3" t="str">
        <f t="shared" si="75"/>
        <v>Q4</v>
      </c>
      <c r="T833" s="3" t="str">
        <f t="shared" si="76"/>
        <v>Printer</v>
      </c>
    </row>
    <row r="834" spans="1:20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77"/>
        <v>2428.5499999999997</v>
      </c>
      <c r="P834" t="str">
        <f t="shared" ref="P834:P897" si="78">IF(O834=N834,"Correct","Error")</f>
        <v>Correct</v>
      </c>
      <c r="Q834" t="str">
        <f t="shared" ref="Q834:Q897" si="79">TEXT(B834,"MMMM")</f>
        <v>March</v>
      </c>
      <c r="R834" s="3">
        <f t="shared" ref="R834:R897" si="80">YEAR(B834)</f>
        <v>2024</v>
      </c>
      <c r="S834" s="3" t="str">
        <f t="shared" ref="S834:S897" si="81">"Q"&amp;ROUNDUP(MONTH(B834)/3,0)</f>
        <v>Q1</v>
      </c>
      <c r="T834" s="3" t="str">
        <f t="shared" ref="T834:T897" si="82">TRIM(D834)</f>
        <v>Chair</v>
      </c>
    </row>
    <row r="835" spans="1:20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83">E835*F835</f>
        <v>391.45000000000005</v>
      </c>
      <c r="P835" t="str">
        <f t="shared" si="78"/>
        <v>Correct</v>
      </c>
      <c r="Q835" t="str">
        <f t="shared" si="79"/>
        <v>March</v>
      </c>
      <c r="R835" s="3">
        <f t="shared" si="80"/>
        <v>2025</v>
      </c>
      <c r="S835" s="3" t="str">
        <f t="shared" si="81"/>
        <v>Q1</v>
      </c>
      <c r="T835" s="3" t="str">
        <f t="shared" si="82"/>
        <v>Phone</v>
      </c>
    </row>
    <row r="836" spans="1:20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83"/>
        <v>110.7</v>
      </c>
      <c r="P836" t="str">
        <f t="shared" si="78"/>
        <v>Correct</v>
      </c>
      <c r="Q836" t="str">
        <f t="shared" si="79"/>
        <v>April</v>
      </c>
      <c r="R836" s="3">
        <f t="shared" si="80"/>
        <v>2024</v>
      </c>
      <c r="S836" s="3" t="str">
        <f t="shared" si="81"/>
        <v>Q2</v>
      </c>
      <c r="T836" s="3" t="str">
        <f t="shared" si="82"/>
        <v>Printer</v>
      </c>
    </row>
    <row r="837" spans="1:20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83"/>
        <v>679.65</v>
      </c>
      <c r="P837" t="str">
        <f t="shared" si="78"/>
        <v>Correct</v>
      </c>
      <c r="Q837" t="str">
        <f t="shared" si="79"/>
        <v>March</v>
      </c>
      <c r="R837" s="3">
        <f t="shared" si="80"/>
        <v>2024</v>
      </c>
      <c r="S837" s="3" t="str">
        <f t="shared" si="81"/>
        <v>Q1</v>
      </c>
      <c r="T837" s="3" t="str">
        <f t="shared" si="82"/>
        <v>Desk</v>
      </c>
    </row>
    <row r="838" spans="1:20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83"/>
        <v>178.44</v>
      </c>
      <c r="P838" t="str">
        <f t="shared" si="78"/>
        <v>Correct</v>
      </c>
      <c r="Q838" t="str">
        <f t="shared" si="79"/>
        <v>February</v>
      </c>
      <c r="R838" s="3">
        <f t="shared" si="80"/>
        <v>2023</v>
      </c>
      <c r="S838" s="3" t="str">
        <f t="shared" si="81"/>
        <v>Q1</v>
      </c>
      <c r="T838" s="3" t="str">
        <f t="shared" si="82"/>
        <v>Phone</v>
      </c>
    </row>
    <row r="839" spans="1:20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83"/>
        <v>3277.75</v>
      </c>
      <c r="P839" t="str">
        <f t="shared" si="78"/>
        <v>Correct</v>
      </c>
      <c r="Q839" t="str">
        <f t="shared" si="79"/>
        <v>June</v>
      </c>
      <c r="R839" s="3">
        <f t="shared" si="80"/>
        <v>2025</v>
      </c>
      <c r="S839" s="3" t="str">
        <f t="shared" si="81"/>
        <v>Q2</v>
      </c>
      <c r="T839" s="3" t="str">
        <f t="shared" si="82"/>
        <v>Chair</v>
      </c>
    </row>
    <row r="840" spans="1:20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83"/>
        <v>2308.3200000000002</v>
      </c>
      <c r="P840" t="str">
        <f t="shared" si="78"/>
        <v>Correct</v>
      </c>
      <c r="Q840" t="str">
        <f t="shared" si="79"/>
        <v>April</v>
      </c>
      <c r="R840" s="3">
        <f t="shared" si="80"/>
        <v>2024</v>
      </c>
      <c r="S840" s="3" t="str">
        <f t="shared" si="81"/>
        <v>Q2</v>
      </c>
      <c r="T840" s="3" t="str">
        <f t="shared" si="82"/>
        <v>Desk</v>
      </c>
    </row>
    <row r="841" spans="1:20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83"/>
        <v>593.91</v>
      </c>
      <c r="P841" t="str">
        <f t="shared" si="78"/>
        <v>Correct</v>
      </c>
      <c r="Q841" t="str">
        <f t="shared" si="79"/>
        <v>August</v>
      </c>
      <c r="R841" s="3">
        <f t="shared" si="80"/>
        <v>2023</v>
      </c>
      <c r="S841" s="3" t="str">
        <f t="shared" si="81"/>
        <v>Q3</v>
      </c>
      <c r="T841" s="3" t="str">
        <f t="shared" si="82"/>
        <v>Chair</v>
      </c>
    </row>
    <row r="842" spans="1:20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83"/>
        <v>1235.8499999999999</v>
      </c>
      <c r="P842" t="str">
        <f t="shared" si="78"/>
        <v>Correct</v>
      </c>
      <c r="Q842" t="str">
        <f t="shared" si="79"/>
        <v>January</v>
      </c>
      <c r="R842" s="3">
        <f t="shared" si="80"/>
        <v>2024</v>
      </c>
      <c r="S842" s="3" t="str">
        <f t="shared" si="81"/>
        <v>Q1</v>
      </c>
      <c r="T842" s="3" t="str">
        <f t="shared" si="82"/>
        <v>Chair</v>
      </c>
    </row>
    <row r="843" spans="1:20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83"/>
        <v>886.44</v>
      </c>
      <c r="P843" t="str">
        <f t="shared" si="78"/>
        <v>Correct</v>
      </c>
      <c r="Q843" t="str">
        <f t="shared" si="79"/>
        <v>September</v>
      </c>
      <c r="R843" s="3">
        <f t="shared" si="80"/>
        <v>2024</v>
      </c>
      <c r="S843" s="3" t="str">
        <f t="shared" si="81"/>
        <v>Q3</v>
      </c>
      <c r="T843" s="3" t="str">
        <f t="shared" si="82"/>
        <v>Printer</v>
      </c>
    </row>
    <row r="844" spans="1:20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83"/>
        <v>1092.42</v>
      </c>
      <c r="P844" t="str">
        <f t="shared" si="78"/>
        <v>Correct</v>
      </c>
      <c r="Q844" t="str">
        <f t="shared" si="79"/>
        <v>May</v>
      </c>
      <c r="R844" s="3">
        <f t="shared" si="80"/>
        <v>2025</v>
      </c>
      <c r="S844" s="3" t="str">
        <f t="shared" si="81"/>
        <v>Q2</v>
      </c>
      <c r="T844" s="3" t="str">
        <f t="shared" si="82"/>
        <v>Laptop</v>
      </c>
    </row>
    <row r="845" spans="1:20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83"/>
        <v>1290.18</v>
      </c>
      <c r="P845" t="str">
        <f t="shared" si="78"/>
        <v>Correct</v>
      </c>
      <c r="Q845" t="str">
        <f t="shared" si="79"/>
        <v>May</v>
      </c>
      <c r="R845" s="3">
        <f t="shared" si="80"/>
        <v>2025</v>
      </c>
      <c r="S845" s="3" t="str">
        <f t="shared" si="81"/>
        <v>Q2</v>
      </c>
      <c r="T845" s="3" t="str">
        <f t="shared" si="82"/>
        <v>Desk</v>
      </c>
    </row>
    <row r="846" spans="1:20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83"/>
        <v>320.92</v>
      </c>
      <c r="P846" t="str">
        <f t="shared" si="78"/>
        <v>Correct</v>
      </c>
      <c r="Q846" t="str">
        <f t="shared" si="79"/>
        <v>December</v>
      </c>
      <c r="R846" s="3">
        <f t="shared" si="80"/>
        <v>2024</v>
      </c>
      <c r="S846" s="3" t="str">
        <f t="shared" si="81"/>
        <v>Q4</v>
      </c>
      <c r="T846" s="3" t="str">
        <f t="shared" si="82"/>
        <v>Chair</v>
      </c>
    </row>
    <row r="847" spans="1:20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83"/>
        <v>322.08</v>
      </c>
      <c r="P847" t="str">
        <f t="shared" si="78"/>
        <v>Correct</v>
      </c>
      <c r="Q847" t="str">
        <f t="shared" si="79"/>
        <v>October</v>
      </c>
      <c r="R847" s="3">
        <f t="shared" si="80"/>
        <v>2023</v>
      </c>
      <c r="S847" s="3" t="str">
        <f t="shared" si="81"/>
        <v>Q4</v>
      </c>
      <c r="T847" s="3" t="str">
        <f t="shared" si="82"/>
        <v>Phone</v>
      </c>
    </row>
    <row r="848" spans="1:20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83"/>
        <v>719.72</v>
      </c>
      <c r="P848" t="str">
        <f t="shared" si="78"/>
        <v>Correct</v>
      </c>
      <c r="Q848" t="str">
        <f t="shared" si="79"/>
        <v>July</v>
      </c>
      <c r="R848" s="3">
        <f t="shared" si="80"/>
        <v>2024</v>
      </c>
      <c r="S848" s="3" t="str">
        <f t="shared" si="81"/>
        <v>Q3</v>
      </c>
      <c r="T848" s="3" t="str">
        <f t="shared" si="82"/>
        <v>Desk</v>
      </c>
    </row>
    <row r="849" spans="1:20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83"/>
        <v>1736.92</v>
      </c>
      <c r="P849" t="str">
        <f t="shared" si="78"/>
        <v>Correct</v>
      </c>
      <c r="Q849" t="str">
        <f t="shared" si="79"/>
        <v>November</v>
      </c>
      <c r="R849" s="3">
        <f t="shared" si="80"/>
        <v>2024</v>
      </c>
      <c r="S849" s="3" t="str">
        <f t="shared" si="81"/>
        <v>Q4</v>
      </c>
      <c r="T849" s="3" t="str">
        <f t="shared" si="82"/>
        <v>Printer</v>
      </c>
    </row>
    <row r="850" spans="1:20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83"/>
        <v>1291.7</v>
      </c>
      <c r="P850" t="str">
        <f t="shared" si="78"/>
        <v>Correct</v>
      </c>
      <c r="Q850" t="str">
        <f t="shared" si="79"/>
        <v>January</v>
      </c>
      <c r="R850" s="3">
        <f t="shared" si="80"/>
        <v>2023</v>
      </c>
      <c r="S850" s="3" t="str">
        <f t="shared" si="81"/>
        <v>Q1</v>
      </c>
      <c r="T850" s="3" t="str">
        <f t="shared" si="82"/>
        <v>Chair</v>
      </c>
    </row>
    <row r="851" spans="1:20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83"/>
        <v>857.4</v>
      </c>
      <c r="P851" t="str">
        <f t="shared" si="78"/>
        <v>Correct</v>
      </c>
      <c r="Q851" t="str">
        <f t="shared" si="79"/>
        <v>June</v>
      </c>
      <c r="R851" s="3">
        <f t="shared" si="80"/>
        <v>2025</v>
      </c>
      <c r="S851" s="3" t="str">
        <f t="shared" si="81"/>
        <v>Q2</v>
      </c>
      <c r="T851" s="3" t="str">
        <f t="shared" si="82"/>
        <v>Printer</v>
      </c>
    </row>
    <row r="852" spans="1:20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83"/>
        <v>1915.5</v>
      </c>
      <c r="P852" t="str">
        <f t="shared" si="78"/>
        <v>Correct</v>
      </c>
      <c r="Q852" t="str">
        <f t="shared" si="79"/>
        <v>April</v>
      </c>
      <c r="R852" s="3">
        <f t="shared" si="80"/>
        <v>2025</v>
      </c>
      <c r="S852" s="3" t="str">
        <f t="shared" si="81"/>
        <v>Q2</v>
      </c>
      <c r="T852" s="3" t="str">
        <f t="shared" si="82"/>
        <v>Monitor</v>
      </c>
    </row>
    <row r="853" spans="1:20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83"/>
        <v>365.57</v>
      </c>
      <c r="P853" t="str">
        <f t="shared" si="78"/>
        <v>Correct</v>
      </c>
      <c r="Q853" t="str">
        <f t="shared" si="79"/>
        <v>December</v>
      </c>
      <c r="R853" s="3">
        <f t="shared" si="80"/>
        <v>2023</v>
      </c>
      <c r="S853" s="3" t="str">
        <f t="shared" si="81"/>
        <v>Q4</v>
      </c>
      <c r="T853" s="3" t="str">
        <f t="shared" si="82"/>
        <v>Laptop</v>
      </c>
    </row>
    <row r="854" spans="1:20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83"/>
        <v>1704.1499999999999</v>
      </c>
      <c r="P854" t="str">
        <f t="shared" si="78"/>
        <v>Correct</v>
      </c>
      <c r="Q854" t="str">
        <f t="shared" si="79"/>
        <v>October</v>
      </c>
      <c r="R854" s="3">
        <f t="shared" si="80"/>
        <v>2024</v>
      </c>
      <c r="S854" s="3" t="str">
        <f t="shared" si="81"/>
        <v>Q4</v>
      </c>
      <c r="T854" s="3" t="str">
        <f t="shared" si="82"/>
        <v>Desk</v>
      </c>
    </row>
    <row r="855" spans="1:20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83"/>
        <v>1470.03</v>
      </c>
      <c r="P855" t="str">
        <f t="shared" si="78"/>
        <v>Correct</v>
      </c>
      <c r="Q855" t="str">
        <f t="shared" si="79"/>
        <v>October</v>
      </c>
      <c r="R855" s="3">
        <f t="shared" si="80"/>
        <v>2023</v>
      </c>
      <c r="S855" s="3" t="str">
        <f t="shared" si="81"/>
        <v>Q4</v>
      </c>
      <c r="T855" s="3" t="str">
        <f t="shared" si="82"/>
        <v>Printer</v>
      </c>
    </row>
    <row r="856" spans="1:20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83"/>
        <v>1117.8000000000002</v>
      </c>
      <c r="P856" t="str">
        <f t="shared" si="78"/>
        <v>Correct</v>
      </c>
      <c r="Q856" t="str">
        <f t="shared" si="79"/>
        <v>June</v>
      </c>
      <c r="R856" s="3">
        <f t="shared" si="80"/>
        <v>2025</v>
      </c>
      <c r="S856" s="3" t="str">
        <f t="shared" si="81"/>
        <v>Q2</v>
      </c>
      <c r="T856" s="3" t="str">
        <f t="shared" si="82"/>
        <v>Laptop</v>
      </c>
    </row>
    <row r="857" spans="1:20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83"/>
        <v>1203.0500000000002</v>
      </c>
      <c r="P857" t="str">
        <f t="shared" si="78"/>
        <v>Correct</v>
      </c>
      <c r="Q857" t="str">
        <f t="shared" si="79"/>
        <v>May</v>
      </c>
      <c r="R857" s="3">
        <f t="shared" si="80"/>
        <v>2023</v>
      </c>
      <c r="S857" s="3" t="str">
        <f t="shared" si="81"/>
        <v>Q2</v>
      </c>
      <c r="T857" s="3" t="str">
        <f t="shared" si="82"/>
        <v>Monitor</v>
      </c>
    </row>
    <row r="858" spans="1:20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83"/>
        <v>586.62</v>
      </c>
      <c r="P858" t="str">
        <f t="shared" si="78"/>
        <v>Correct</v>
      </c>
      <c r="Q858" t="str">
        <f t="shared" si="79"/>
        <v>June</v>
      </c>
      <c r="R858" s="3">
        <f t="shared" si="80"/>
        <v>2024</v>
      </c>
      <c r="S858" s="3" t="str">
        <f t="shared" si="81"/>
        <v>Q2</v>
      </c>
      <c r="T858" s="3" t="str">
        <f t="shared" si="82"/>
        <v>Phone</v>
      </c>
    </row>
    <row r="859" spans="1:20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83"/>
        <v>773.52</v>
      </c>
      <c r="P859" t="str">
        <f t="shared" si="78"/>
        <v>Correct</v>
      </c>
      <c r="Q859" t="str">
        <f t="shared" si="79"/>
        <v>March</v>
      </c>
      <c r="R859" s="3">
        <f t="shared" si="80"/>
        <v>2024</v>
      </c>
      <c r="S859" s="3" t="str">
        <f t="shared" si="81"/>
        <v>Q1</v>
      </c>
      <c r="T859" s="3" t="str">
        <f t="shared" si="82"/>
        <v>Phone</v>
      </c>
    </row>
    <row r="860" spans="1:20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83"/>
        <v>2178.3000000000002</v>
      </c>
      <c r="P860" t="str">
        <f t="shared" si="78"/>
        <v>Correct</v>
      </c>
      <c r="Q860" t="str">
        <f t="shared" si="79"/>
        <v>August</v>
      </c>
      <c r="R860" s="3">
        <f t="shared" si="80"/>
        <v>2023</v>
      </c>
      <c r="S860" s="3" t="str">
        <f t="shared" si="81"/>
        <v>Q3</v>
      </c>
      <c r="T860" s="3" t="str">
        <f t="shared" si="82"/>
        <v>Tablet</v>
      </c>
    </row>
    <row r="861" spans="1:20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83"/>
        <v>1306.6499999999999</v>
      </c>
      <c r="P861" t="str">
        <f t="shared" si="78"/>
        <v>Correct</v>
      </c>
      <c r="Q861" t="str">
        <f t="shared" si="79"/>
        <v>August</v>
      </c>
      <c r="R861" s="3">
        <f t="shared" si="80"/>
        <v>2024</v>
      </c>
      <c r="S861" s="3" t="str">
        <f t="shared" si="81"/>
        <v>Q3</v>
      </c>
      <c r="T861" s="3" t="str">
        <f t="shared" si="82"/>
        <v>Chair</v>
      </c>
    </row>
    <row r="862" spans="1:20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83"/>
        <v>422.54</v>
      </c>
      <c r="P862" t="str">
        <f t="shared" si="78"/>
        <v>Correct</v>
      </c>
      <c r="Q862" t="str">
        <f t="shared" si="79"/>
        <v>January</v>
      </c>
      <c r="R862" s="3">
        <f t="shared" si="80"/>
        <v>2024</v>
      </c>
      <c r="S862" s="3" t="str">
        <f t="shared" si="81"/>
        <v>Q1</v>
      </c>
      <c r="T862" s="3" t="str">
        <f t="shared" si="82"/>
        <v>Printer</v>
      </c>
    </row>
    <row r="863" spans="1:20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83"/>
        <v>1652.25</v>
      </c>
      <c r="P863" t="str">
        <f t="shared" si="78"/>
        <v>Correct</v>
      </c>
      <c r="Q863" t="str">
        <f t="shared" si="79"/>
        <v>March</v>
      </c>
      <c r="R863" s="3">
        <f t="shared" si="80"/>
        <v>2023</v>
      </c>
      <c r="S863" s="3" t="str">
        <f t="shared" si="81"/>
        <v>Q1</v>
      </c>
      <c r="T863" s="3" t="str">
        <f t="shared" si="82"/>
        <v>Desk</v>
      </c>
    </row>
    <row r="864" spans="1:20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83"/>
        <v>362.46</v>
      </c>
      <c r="P864" t="str">
        <f t="shared" si="78"/>
        <v>Correct</v>
      </c>
      <c r="Q864" t="str">
        <f t="shared" si="79"/>
        <v>December</v>
      </c>
      <c r="R864" s="3">
        <f t="shared" si="80"/>
        <v>2023</v>
      </c>
      <c r="S864" s="3" t="str">
        <f t="shared" si="81"/>
        <v>Q4</v>
      </c>
      <c r="T864" s="3" t="str">
        <f t="shared" si="82"/>
        <v>Desk</v>
      </c>
    </row>
    <row r="865" spans="1:20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83"/>
        <v>14.06</v>
      </c>
      <c r="P865" t="str">
        <f t="shared" si="78"/>
        <v>Correct</v>
      </c>
      <c r="Q865" t="str">
        <f t="shared" si="79"/>
        <v>May</v>
      </c>
      <c r="R865" s="3">
        <f t="shared" si="80"/>
        <v>2024</v>
      </c>
      <c r="S865" s="3" t="str">
        <f t="shared" si="81"/>
        <v>Q2</v>
      </c>
      <c r="T865" s="3" t="str">
        <f t="shared" si="82"/>
        <v>Phone</v>
      </c>
    </row>
    <row r="866" spans="1:20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83"/>
        <v>491.11</v>
      </c>
      <c r="P866" t="str">
        <f t="shared" si="78"/>
        <v>Correct</v>
      </c>
      <c r="Q866" t="str">
        <f t="shared" si="79"/>
        <v>May</v>
      </c>
      <c r="R866" s="3">
        <f t="shared" si="80"/>
        <v>2023</v>
      </c>
      <c r="S866" s="3" t="str">
        <f t="shared" si="81"/>
        <v>Q2</v>
      </c>
      <c r="T866" s="3" t="str">
        <f t="shared" si="82"/>
        <v>Desk</v>
      </c>
    </row>
    <row r="867" spans="1:20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83"/>
        <v>2709.48</v>
      </c>
      <c r="P867" t="str">
        <f t="shared" si="78"/>
        <v>Correct</v>
      </c>
      <c r="Q867" t="str">
        <f t="shared" si="79"/>
        <v>April</v>
      </c>
      <c r="R867" s="3">
        <f t="shared" si="80"/>
        <v>2023</v>
      </c>
      <c r="S867" s="3" t="str">
        <f t="shared" si="81"/>
        <v>Q2</v>
      </c>
      <c r="T867" s="3" t="str">
        <f t="shared" si="82"/>
        <v>Monitor</v>
      </c>
    </row>
    <row r="868" spans="1:20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83"/>
        <v>946.25</v>
      </c>
      <c r="P868" t="str">
        <f t="shared" si="78"/>
        <v>Correct</v>
      </c>
      <c r="Q868" t="str">
        <f t="shared" si="79"/>
        <v>July</v>
      </c>
      <c r="R868" s="3">
        <f t="shared" si="80"/>
        <v>2024</v>
      </c>
      <c r="S868" s="3" t="str">
        <f t="shared" si="81"/>
        <v>Q3</v>
      </c>
      <c r="T868" s="3" t="str">
        <f t="shared" si="82"/>
        <v>Desk</v>
      </c>
    </row>
    <row r="869" spans="1:20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83"/>
        <v>570.32000000000005</v>
      </c>
      <c r="P869" t="str">
        <f t="shared" si="78"/>
        <v>Correct</v>
      </c>
      <c r="Q869" t="str">
        <f t="shared" si="79"/>
        <v>May</v>
      </c>
      <c r="R869" s="3">
        <f t="shared" si="80"/>
        <v>2024</v>
      </c>
      <c r="S869" s="3" t="str">
        <f t="shared" si="81"/>
        <v>Q2</v>
      </c>
      <c r="T869" s="3" t="str">
        <f t="shared" si="82"/>
        <v>Printer</v>
      </c>
    </row>
    <row r="870" spans="1:20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83"/>
        <v>1265.28</v>
      </c>
      <c r="P870" t="str">
        <f t="shared" si="78"/>
        <v>Correct</v>
      </c>
      <c r="Q870" t="str">
        <f t="shared" si="79"/>
        <v>June</v>
      </c>
      <c r="R870" s="3">
        <f t="shared" si="80"/>
        <v>2024</v>
      </c>
      <c r="S870" s="3" t="str">
        <f t="shared" si="81"/>
        <v>Q2</v>
      </c>
      <c r="T870" s="3" t="str">
        <f t="shared" si="82"/>
        <v>Monitor</v>
      </c>
    </row>
    <row r="871" spans="1:20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83"/>
        <v>1067.9000000000001</v>
      </c>
      <c r="P871" t="str">
        <f t="shared" si="78"/>
        <v>Correct</v>
      </c>
      <c r="Q871" t="str">
        <f t="shared" si="79"/>
        <v>March</v>
      </c>
      <c r="R871" s="3">
        <f t="shared" si="80"/>
        <v>2024</v>
      </c>
      <c r="S871" s="3" t="str">
        <f t="shared" si="81"/>
        <v>Q1</v>
      </c>
      <c r="T871" s="3" t="str">
        <f t="shared" si="82"/>
        <v>Desk</v>
      </c>
    </row>
    <row r="872" spans="1:20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83"/>
        <v>1880.36</v>
      </c>
      <c r="P872" t="str">
        <f t="shared" si="78"/>
        <v>Correct</v>
      </c>
      <c r="Q872" t="str">
        <f t="shared" si="79"/>
        <v>June</v>
      </c>
      <c r="R872" s="3">
        <f t="shared" si="80"/>
        <v>2025</v>
      </c>
      <c r="S872" s="3" t="str">
        <f t="shared" si="81"/>
        <v>Q2</v>
      </c>
      <c r="T872" s="3" t="str">
        <f t="shared" si="82"/>
        <v>Phone</v>
      </c>
    </row>
    <row r="873" spans="1:20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83"/>
        <v>972.90000000000009</v>
      </c>
      <c r="P873" t="str">
        <f t="shared" si="78"/>
        <v>Correct</v>
      </c>
      <c r="Q873" t="str">
        <f t="shared" si="79"/>
        <v>May</v>
      </c>
      <c r="R873" s="3">
        <f t="shared" si="80"/>
        <v>2024</v>
      </c>
      <c r="S873" s="3" t="str">
        <f t="shared" si="81"/>
        <v>Q2</v>
      </c>
      <c r="T873" s="3" t="str">
        <f t="shared" si="82"/>
        <v>Tablet</v>
      </c>
    </row>
    <row r="874" spans="1:20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83"/>
        <v>2517.36</v>
      </c>
      <c r="P874" t="str">
        <f t="shared" si="78"/>
        <v>Correct</v>
      </c>
      <c r="Q874" t="str">
        <f t="shared" si="79"/>
        <v>July</v>
      </c>
      <c r="R874" s="3">
        <f t="shared" si="80"/>
        <v>2023</v>
      </c>
      <c r="S874" s="3" t="str">
        <f t="shared" si="81"/>
        <v>Q3</v>
      </c>
      <c r="T874" s="3" t="str">
        <f t="shared" si="82"/>
        <v>Chair</v>
      </c>
    </row>
    <row r="875" spans="1:20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83"/>
        <v>410.52</v>
      </c>
      <c r="P875" t="str">
        <f t="shared" si="78"/>
        <v>Correct</v>
      </c>
      <c r="Q875" t="str">
        <f t="shared" si="79"/>
        <v>May</v>
      </c>
      <c r="R875" s="3">
        <f t="shared" si="80"/>
        <v>2024</v>
      </c>
      <c r="S875" s="3" t="str">
        <f t="shared" si="81"/>
        <v>Q2</v>
      </c>
      <c r="T875" s="3" t="str">
        <f t="shared" si="82"/>
        <v>Desk</v>
      </c>
    </row>
    <row r="876" spans="1:20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83"/>
        <v>977.8</v>
      </c>
      <c r="P876" t="str">
        <f t="shared" si="78"/>
        <v>Correct</v>
      </c>
      <c r="Q876" t="str">
        <f t="shared" si="79"/>
        <v>October</v>
      </c>
      <c r="R876" s="3">
        <f t="shared" si="80"/>
        <v>2023</v>
      </c>
      <c r="S876" s="3" t="str">
        <f t="shared" si="81"/>
        <v>Q4</v>
      </c>
      <c r="T876" s="3" t="str">
        <f t="shared" si="82"/>
        <v>Chair</v>
      </c>
    </row>
    <row r="877" spans="1:20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83"/>
        <v>666.94999999999993</v>
      </c>
      <c r="P877" t="str">
        <f t="shared" si="78"/>
        <v>Correct</v>
      </c>
      <c r="Q877" t="str">
        <f t="shared" si="79"/>
        <v>August</v>
      </c>
      <c r="R877" s="3">
        <f t="shared" si="80"/>
        <v>2023</v>
      </c>
      <c r="S877" s="3" t="str">
        <f t="shared" si="81"/>
        <v>Q3</v>
      </c>
      <c r="T877" s="3" t="str">
        <f t="shared" si="82"/>
        <v>Laptop</v>
      </c>
    </row>
    <row r="878" spans="1:20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83"/>
        <v>3044.5499999999997</v>
      </c>
      <c r="P878" t="str">
        <f t="shared" si="78"/>
        <v>Correct</v>
      </c>
      <c r="Q878" t="str">
        <f t="shared" si="79"/>
        <v>June</v>
      </c>
      <c r="R878" s="3">
        <f t="shared" si="80"/>
        <v>2024</v>
      </c>
      <c r="S878" s="3" t="str">
        <f t="shared" si="81"/>
        <v>Q2</v>
      </c>
      <c r="T878" s="3" t="str">
        <f t="shared" si="82"/>
        <v>Chair</v>
      </c>
    </row>
    <row r="879" spans="1:20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83"/>
        <v>524.05999999999995</v>
      </c>
      <c r="P879" t="str">
        <f t="shared" si="78"/>
        <v>Correct</v>
      </c>
      <c r="Q879" t="str">
        <f t="shared" si="79"/>
        <v>July</v>
      </c>
      <c r="R879" s="3">
        <f t="shared" si="80"/>
        <v>2024</v>
      </c>
      <c r="S879" s="3" t="str">
        <f t="shared" si="81"/>
        <v>Q3</v>
      </c>
      <c r="T879" s="3" t="str">
        <f t="shared" si="82"/>
        <v>Tablet</v>
      </c>
    </row>
    <row r="880" spans="1:20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83"/>
        <v>661.38</v>
      </c>
      <c r="P880" t="str">
        <f t="shared" si="78"/>
        <v>Correct</v>
      </c>
      <c r="Q880" t="str">
        <f t="shared" si="79"/>
        <v>June</v>
      </c>
      <c r="R880" s="3">
        <f t="shared" si="80"/>
        <v>2023</v>
      </c>
      <c r="S880" s="3" t="str">
        <f t="shared" si="81"/>
        <v>Q2</v>
      </c>
      <c r="T880" s="3" t="str">
        <f t="shared" si="82"/>
        <v>Desk</v>
      </c>
    </row>
    <row r="881" spans="1:20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83"/>
        <v>1095.3399999999999</v>
      </c>
      <c r="P881" t="str">
        <f t="shared" si="78"/>
        <v>Correct</v>
      </c>
      <c r="Q881" t="str">
        <f t="shared" si="79"/>
        <v>April</v>
      </c>
      <c r="R881" s="3">
        <f t="shared" si="80"/>
        <v>2025</v>
      </c>
      <c r="S881" s="3" t="str">
        <f t="shared" si="81"/>
        <v>Q2</v>
      </c>
      <c r="T881" s="3" t="str">
        <f t="shared" si="82"/>
        <v>Phone</v>
      </c>
    </row>
    <row r="882" spans="1:20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83"/>
        <v>934.8</v>
      </c>
      <c r="P882" t="str">
        <f t="shared" si="78"/>
        <v>Correct</v>
      </c>
      <c r="Q882" t="str">
        <f t="shared" si="79"/>
        <v>March</v>
      </c>
      <c r="R882" s="3">
        <f t="shared" si="80"/>
        <v>2025</v>
      </c>
      <c r="S882" s="3" t="str">
        <f t="shared" si="81"/>
        <v>Q1</v>
      </c>
      <c r="T882" s="3" t="str">
        <f t="shared" si="82"/>
        <v>Laptop</v>
      </c>
    </row>
    <row r="883" spans="1:20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83"/>
        <v>897.7</v>
      </c>
      <c r="P883" t="str">
        <f t="shared" si="78"/>
        <v>Correct</v>
      </c>
      <c r="Q883" t="str">
        <f t="shared" si="79"/>
        <v>January</v>
      </c>
      <c r="R883" s="3">
        <f t="shared" si="80"/>
        <v>2023</v>
      </c>
      <c r="S883" s="3" t="str">
        <f t="shared" si="81"/>
        <v>Q1</v>
      </c>
      <c r="T883" s="3" t="str">
        <f t="shared" si="82"/>
        <v>Tablet</v>
      </c>
    </row>
    <row r="884" spans="1:20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83"/>
        <v>548.24</v>
      </c>
      <c r="P884" t="str">
        <f t="shared" si="78"/>
        <v>Correct</v>
      </c>
      <c r="Q884" t="str">
        <f t="shared" si="79"/>
        <v>June</v>
      </c>
      <c r="R884" s="3">
        <f t="shared" si="80"/>
        <v>2025</v>
      </c>
      <c r="S884" s="3" t="str">
        <f t="shared" si="81"/>
        <v>Q2</v>
      </c>
      <c r="T884" s="3" t="str">
        <f t="shared" si="82"/>
        <v>Phone</v>
      </c>
    </row>
    <row r="885" spans="1:20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83"/>
        <v>2807.4</v>
      </c>
      <c r="P885" t="str">
        <f t="shared" si="78"/>
        <v>Correct</v>
      </c>
      <c r="Q885" t="str">
        <f t="shared" si="79"/>
        <v>May</v>
      </c>
      <c r="R885" s="3">
        <f t="shared" si="80"/>
        <v>2025</v>
      </c>
      <c r="S885" s="3" t="str">
        <f t="shared" si="81"/>
        <v>Q2</v>
      </c>
      <c r="T885" s="3" t="str">
        <f t="shared" si="82"/>
        <v>Printer</v>
      </c>
    </row>
    <row r="886" spans="1:20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83"/>
        <v>595.54</v>
      </c>
      <c r="P886" t="str">
        <f t="shared" si="78"/>
        <v>Correct</v>
      </c>
      <c r="Q886" t="str">
        <f t="shared" si="79"/>
        <v>May</v>
      </c>
      <c r="R886" s="3">
        <f t="shared" si="80"/>
        <v>2024</v>
      </c>
      <c r="S886" s="3" t="str">
        <f t="shared" si="81"/>
        <v>Q2</v>
      </c>
      <c r="T886" s="3" t="str">
        <f t="shared" si="82"/>
        <v>Chair</v>
      </c>
    </row>
    <row r="887" spans="1:20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83"/>
        <v>2062.36</v>
      </c>
      <c r="P887" t="str">
        <f t="shared" si="78"/>
        <v>Correct</v>
      </c>
      <c r="Q887" t="str">
        <f t="shared" si="79"/>
        <v>April</v>
      </c>
      <c r="R887" s="3">
        <f t="shared" si="80"/>
        <v>2024</v>
      </c>
      <c r="S887" s="3" t="str">
        <f t="shared" si="81"/>
        <v>Q2</v>
      </c>
      <c r="T887" s="3" t="str">
        <f t="shared" si="82"/>
        <v>Laptop</v>
      </c>
    </row>
    <row r="888" spans="1:20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83"/>
        <v>460.13</v>
      </c>
      <c r="P888" t="str">
        <f t="shared" si="78"/>
        <v>Correct</v>
      </c>
      <c r="Q888" t="str">
        <f t="shared" si="79"/>
        <v>October</v>
      </c>
      <c r="R888" s="3">
        <f t="shared" si="80"/>
        <v>2023</v>
      </c>
      <c r="S888" s="3" t="str">
        <f t="shared" si="81"/>
        <v>Q4</v>
      </c>
      <c r="T888" s="3" t="str">
        <f t="shared" si="82"/>
        <v>Phone</v>
      </c>
    </row>
    <row r="889" spans="1:20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83"/>
        <v>514.98</v>
      </c>
      <c r="P889" t="str">
        <f t="shared" si="78"/>
        <v>Correct</v>
      </c>
      <c r="Q889" t="str">
        <f t="shared" si="79"/>
        <v>December</v>
      </c>
      <c r="R889" s="3">
        <f t="shared" si="80"/>
        <v>2024</v>
      </c>
      <c r="S889" s="3" t="str">
        <f t="shared" si="81"/>
        <v>Q4</v>
      </c>
      <c r="T889" s="3" t="str">
        <f t="shared" si="82"/>
        <v>Chair</v>
      </c>
    </row>
    <row r="890" spans="1:20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83"/>
        <v>533.9</v>
      </c>
      <c r="P890" t="str">
        <f t="shared" si="78"/>
        <v>Correct</v>
      </c>
      <c r="Q890" t="str">
        <f t="shared" si="79"/>
        <v>July</v>
      </c>
      <c r="R890" s="3">
        <f t="shared" si="80"/>
        <v>2024</v>
      </c>
      <c r="S890" s="3" t="str">
        <f t="shared" si="81"/>
        <v>Q3</v>
      </c>
      <c r="T890" s="3" t="str">
        <f t="shared" si="82"/>
        <v>Laptop</v>
      </c>
    </row>
    <row r="891" spans="1:20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83"/>
        <v>3253.6000000000004</v>
      </c>
      <c r="P891" t="str">
        <f t="shared" si="78"/>
        <v>Correct</v>
      </c>
      <c r="Q891" t="str">
        <f t="shared" si="79"/>
        <v>October</v>
      </c>
      <c r="R891" s="3">
        <f t="shared" si="80"/>
        <v>2024</v>
      </c>
      <c r="S891" s="3" t="str">
        <f t="shared" si="81"/>
        <v>Q4</v>
      </c>
      <c r="T891" s="3" t="str">
        <f t="shared" si="82"/>
        <v>Monitor</v>
      </c>
    </row>
    <row r="892" spans="1:20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83"/>
        <v>1318.59</v>
      </c>
      <c r="P892" t="str">
        <f t="shared" si="78"/>
        <v>Correct</v>
      </c>
      <c r="Q892" t="str">
        <f t="shared" si="79"/>
        <v>August</v>
      </c>
      <c r="R892" s="3">
        <f t="shared" si="80"/>
        <v>2023</v>
      </c>
      <c r="S892" s="3" t="str">
        <f t="shared" si="81"/>
        <v>Q3</v>
      </c>
      <c r="T892" s="3" t="str">
        <f t="shared" si="82"/>
        <v>Laptop</v>
      </c>
    </row>
    <row r="893" spans="1:20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83"/>
        <v>1963.62</v>
      </c>
      <c r="P893" t="str">
        <f t="shared" si="78"/>
        <v>Correct</v>
      </c>
      <c r="Q893" t="str">
        <f t="shared" si="79"/>
        <v>November</v>
      </c>
      <c r="R893" s="3">
        <f t="shared" si="80"/>
        <v>2023</v>
      </c>
      <c r="S893" s="3" t="str">
        <f t="shared" si="81"/>
        <v>Q4</v>
      </c>
      <c r="T893" s="3" t="str">
        <f t="shared" si="82"/>
        <v>Monitor</v>
      </c>
    </row>
    <row r="894" spans="1:20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83"/>
        <v>394.53</v>
      </c>
      <c r="P894" t="str">
        <f t="shared" si="78"/>
        <v>Correct</v>
      </c>
      <c r="Q894" t="str">
        <f t="shared" si="79"/>
        <v>June</v>
      </c>
      <c r="R894" s="3">
        <f t="shared" si="80"/>
        <v>2024</v>
      </c>
      <c r="S894" s="3" t="str">
        <f t="shared" si="81"/>
        <v>Q2</v>
      </c>
      <c r="T894" s="3" t="str">
        <f t="shared" si="82"/>
        <v>Desk</v>
      </c>
    </row>
    <row r="895" spans="1:20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83"/>
        <v>678.01</v>
      </c>
      <c r="P895" t="str">
        <f t="shared" si="78"/>
        <v>Correct</v>
      </c>
      <c r="Q895" t="str">
        <f t="shared" si="79"/>
        <v>March</v>
      </c>
      <c r="R895" s="3">
        <f t="shared" si="80"/>
        <v>2023</v>
      </c>
      <c r="S895" s="3" t="str">
        <f t="shared" si="81"/>
        <v>Q1</v>
      </c>
      <c r="T895" s="3" t="str">
        <f t="shared" si="82"/>
        <v>Monitor</v>
      </c>
    </row>
    <row r="896" spans="1:20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83"/>
        <v>1725.03</v>
      </c>
      <c r="P896" t="str">
        <f t="shared" si="78"/>
        <v>Correct</v>
      </c>
      <c r="Q896" t="str">
        <f t="shared" si="79"/>
        <v>May</v>
      </c>
      <c r="R896" s="3">
        <f t="shared" si="80"/>
        <v>2023</v>
      </c>
      <c r="S896" s="3" t="str">
        <f t="shared" si="81"/>
        <v>Q2</v>
      </c>
      <c r="T896" s="3" t="str">
        <f t="shared" si="82"/>
        <v>Tablet</v>
      </c>
    </row>
    <row r="897" spans="1:20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83"/>
        <v>463.91999999999996</v>
      </c>
      <c r="P897" t="str">
        <f t="shared" si="78"/>
        <v>Correct</v>
      </c>
      <c r="Q897" t="str">
        <f t="shared" si="79"/>
        <v>November</v>
      </c>
      <c r="R897" s="3">
        <f t="shared" si="80"/>
        <v>2023</v>
      </c>
      <c r="S897" s="3" t="str">
        <f t="shared" si="81"/>
        <v>Q4</v>
      </c>
      <c r="T897" s="3" t="str">
        <f t="shared" si="82"/>
        <v>Chair</v>
      </c>
    </row>
    <row r="898" spans="1:20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83"/>
        <v>441.87</v>
      </c>
      <c r="P898" t="str">
        <f t="shared" ref="P898:P961" si="84">IF(O898=N898,"Correct","Error")</f>
        <v>Correct</v>
      </c>
      <c r="Q898" t="str">
        <f t="shared" ref="Q898:Q961" si="85">TEXT(B898,"MMMM")</f>
        <v>October</v>
      </c>
      <c r="R898" s="3">
        <f t="shared" ref="R898:R961" si="86">YEAR(B898)</f>
        <v>2024</v>
      </c>
      <c r="S898" s="3" t="str">
        <f t="shared" ref="S898:S961" si="87">"Q"&amp;ROUNDUP(MONTH(B898)/3,0)</f>
        <v>Q4</v>
      </c>
      <c r="T898" s="3" t="str">
        <f t="shared" ref="T898:T961" si="88">TRIM(D898)</f>
        <v>Desk</v>
      </c>
    </row>
    <row r="899" spans="1:20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89">E899*F899</f>
        <v>1925.92</v>
      </c>
      <c r="P899" t="str">
        <f t="shared" si="84"/>
        <v>Correct</v>
      </c>
      <c r="Q899" t="str">
        <f t="shared" si="85"/>
        <v>September</v>
      </c>
      <c r="R899" s="3">
        <f t="shared" si="86"/>
        <v>2024</v>
      </c>
      <c r="S899" s="3" t="str">
        <f t="shared" si="87"/>
        <v>Q3</v>
      </c>
      <c r="T899" s="3" t="str">
        <f t="shared" si="88"/>
        <v>Laptop</v>
      </c>
    </row>
    <row r="900" spans="1:20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89"/>
        <v>475.11</v>
      </c>
      <c r="P900" t="str">
        <f t="shared" si="84"/>
        <v>Correct</v>
      </c>
      <c r="Q900" t="str">
        <f t="shared" si="85"/>
        <v>March</v>
      </c>
      <c r="R900" s="3">
        <f t="shared" si="86"/>
        <v>2025</v>
      </c>
      <c r="S900" s="3" t="str">
        <f t="shared" si="87"/>
        <v>Q1</v>
      </c>
      <c r="T900" s="3" t="str">
        <f t="shared" si="88"/>
        <v>Monitor</v>
      </c>
    </row>
    <row r="901" spans="1:20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89"/>
        <v>646.74</v>
      </c>
      <c r="P901" t="str">
        <f t="shared" si="84"/>
        <v>Correct</v>
      </c>
      <c r="Q901" t="str">
        <f t="shared" si="85"/>
        <v>April</v>
      </c>
      <c r="R901" s="3">
        <f t="shared" si="86"/>
        <v>2025</v>
      </c>
      <c r="S901" s="3" t="str">
        <f t="shared" si="87"/>
        <v>Q2</v>
      </c>
      <c r="T901" s="3" t="str">
        <f t="shared" si="88"/>
        <v>Printer</v>
      </c>
    </row>
    <row r="902" spans="1:20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89"/>
        <v>369.15</v>
      </c>
      <c r="P902" t="str">
        <f t="shared" si="84"/>
        <v>Correct</v>
      </c>
      <c r="Q902" t="str">
        <f t="shared" si="85"/>
        <v>February</v>
      </c>
      <c r="R902" s="3">
        <f t="shared" si="86"/>
        <v>2025</v>
      </c>
      <c r="S902" s="3" t="str">
        <f t="shared" si="87"/>
        <v>Q1</v>
      </c>
      <c r="T902" s="3" t="str">
        <f t="shared" si="88"/>
        <v>Laptop</v>
      </c>
    </row>
    <row r="903" spans="1:20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89"/>
        <v>458.63</v>
      </c>
      <c r="P903" t="str">
        <f t="shared" si="84"/>
        <v>Correct</v>
      </c>
      <c r="Q903" t="str">
        <f t="shared" si="85"/>
        <v>April</v>
      </c>
      <c r="R903" s="3">
        <f t="shared" si="86"/>
        <v>2024</v>
      </c>
      <c r="S903" s="3" t="str">
        <f t="shared" si="87"/>
        <v>Q2</v>
      </c>
      <c r="T903" s="3" t="str">
        <f t="shared" si="88"/>
        <v>Tablet</v>
      </c>
    </row>
    <row r="904" spans="1:20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89"/>
        <v>721</v>
      </c>
      <c r="P904" t="str">
        <f t="shared" si="84"/>
        <v>Correct</v>
      </c>
      <c r="Q904" t="str">
        <f t="shared" si="85"/>
        <v>July</v>
      </c>
      <c r="R904" s="3">
        <f t="shared" si="86"/>
        <v>2024</v>
      </c>
      <c r="S904" s="3" t="str">
        <f t="shared" si="87"/>
        <v>Q3</v>
      </c>
      <c r="T904" s="3" t="str">
        <f t="shared" si="88"/>
        <v>Monitor</v>
      </c>
    </row>
    <row r="905" spans="1:20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89"/>
        <v>1420.47</v>
      </c>
      <c r="P905" t="str">
        <f t="shared" si="84"/>
        <v>Correct</v>
      </c>
      <c r="Q905" t="str">
        <f t="shared" si="85"/>
        <v>May</v>
      </c>
      <c r="R905" s="3">
        <f t="shared" si="86"/>
        <v>2023</v>
      </c>
      <c r="S905" s="3" t="str">
        <f t="shared" si="87"/>
        <v>Q2</v>
      </c>
      <c r="T905" s="3" t="str">
        <f t="shared" si="88"/>
        <v>Monitor</v>
      </c>
    </row>
    <row r="906" spans="1:20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89"/>
        <v>949.72</v>
      </c>
      <c r="P906" t="str">
        <f t="shared" si="84"/>
        <v>Correct</v>
      </c>
      <c r="Q906" t="str">
        <f t="shared" si="85"/>
        <v>February</v>
      </c>
      <c r="R906" s="3">
        <f t="shared" si="86"/>
        <v>2025</v>
      </c>
      <c r="S906" s="3" t="str">
        <f t="shared" si="87"/>
        <v>Q1</v>
      </c>
      <c r="T906" s="3" t="str">
        <f t="shared" si="88"/>
        <v>Monitor</v>
      </c>
    </row>
    <row r="907" spans="1:20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89"/>
        <v>442.39</v>
      </c>
      <c r="P907" t="str">
        <f t="shared" si="84"/>
        <v>Correct</v>
      </c>
      <c r="Q907" t="str">
        <f t="shared" si="85"/>
        <v>November</v>
      </c>
      <c r="R907" s="3">
        <f t="shared" si="86"/>
        <v>2023</v>
      </c>
      <c r="S907" s="3" t="str">
        <f t="shared" si="87"/>
        <v>Q4</v>
      </c>
      <c r="T907" s="3" t="str">
        <f t="shared" si="88"/>
        <v>Laptop</v>
      </c>
    </row>
    <row r="908" spans="1:20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89"/>
        <v>62.12</v>
      </c>
      <c r="P908" t="str">
        <f t="shared" si="84"/>
        <v>Correct</v>
      </c>
      <c r="Q908" t="str">
        <f t="shared" si="85"/>
        <v>September</v>
      </c>
      <c r="R908" s="3">
        <f t="shared" si="86"/>
        <v>2024</v>
      </c>
      <c r="S908" s="3" t="str">
        <f t="shared" si="87"/>
        <v>Q3</v>
      </c>
      <c r="T908" s="3" t="str">
        <f t="shared" si="88"/>
        <v>Monitor</v>
      </c>
    </row>
    <row r="909" spans="1:20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89"/>
        <v>1491.9499999999998</v>
      </c>
      <c r="P909" t="str">
        <f t="shared" si="84"/>
        <v>Correct</v>
      </c>
      <c r="Q909" t="str">
        <f t="shared" si="85"/>
        <v>August</v>
      </c>
      <c r="R909" s="3">
        <f t="shared" si="86"/>
        <v>2024</v>
      </c>
      <c r="S909" s="3" t="str">
        <f t="shared" si="87"/>
        <v>Q3</v>
      </c>
      <c r="T909" s="3" t="str">
        <f t="shared" si="88"/>
        <v>Desk</v>
      </c>
    </row>
    <row r="910" spans="1:20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89"/>
        <v>1395.86</v>
      </c>
      <c r="P910" t="str">
        <f t="shared" si="84"/>
        <v>Correct</v>
      </c>
      <c r="Q910" t="str">
        <f t="shared" si="85"/>
        <v>May</v>
      </c>
      <c r="R910" s="3">
        <f t="shared" si="86"/>
        <v>2025</v>
      </c>
      <c r="S910" s="3" t="str">
        <f t="shared" si="87"/>
        <v>Q2</v>
      </c>
      <c r="T910" s="3" t="str">
        <f t="shared" si="88"/>
        <v>Desk</v>
      </c>
    </row>
    <row r="911" spans="1:20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89"/>
        <v>583.70000000000005</v>
      </c>
      <c r="P911" t="str">
        <f t="shared" si="84"/>
        <v>Correct</v>
      </c>
      <c r="Q911" t="str">
        <f t="shared" si="85"/>
        <v>May</v>
      </c>
      <c r="R911" s="3">
        <f t="shared" si="86"/>
        <v>2024</v>
      </c>
      <c r="S911" s="3" t="str">
        <f t="shared" si="87"/>
        <v>Q2</v>
      </c>
      <c r="T911" s="3" t="str">
        <f t="shared" si="88"/>
        <v>Tablet</v>
      </c>
    </row>
    <row r="912" spans="1:20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89"/>
        <v>926.94</v>
      </c>
      <c r="P912" t="str">
        <f t="shared" si="84"/>
        <v>Correct</v>
      </c>
      <c r="Q912" t="str">
        <f t="shared" si="85"/>
        <v>May</v>
      </c>
      <c r="R912" s="3">
        <f t="shared" si="86"/>
        <v>2024</v>
      </c>
      <c r="S912" s="3" t="str">
        <f t="shared" si="87"/>
        <v>Q2</v>
      </c>
      <c r="T912" s="3" t="str">
        <f t="shared" si="88"/>
        <v>Printer</v>
      </c>
    </row>
    <row r="913" spans="1:20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89"/>
        <v>1984.3000000000002</v>
      </c>
      <c r="P913" t="str">
        <f t="shared" si="84"/>
        <v>Correct</v>
      </c>
      <c r="Q913" t="str">
        <f t="shared" si="85"/>
        <v>August</v>
      </c>
      <c r="R913" s="3">
        <f t="shared" si="86"/>
        <v>2024</v>
      </c>
      <c r="S913" s="3" t="str">
        <f t="shared" si="87"/>
        <v>Q3</v>
      </c>
      <c r="T913" s="3" t="str">
        <f t="shared" si="88"/>
        <v>Desk</v>
      </c>
    </row>
    <row r="914" spans="1:20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89"/>
        <v>279.38</v>
      </c>
      <c r="P914" t="str">
        <f t="shared" si="84"/>
        <v>Correct</v>
      </c>
      <c r="Q914" t="str">
        <f t="shared" si="85"/>
        <v>January</v>
      </c>
      <c r="R914" s="3">
        <f t="shared" si="86"/>
        <v>2024</v>
      </c>
      <c r="S914" s="3" t="str">
        <f t="shared" si="87"/>
        <v>Q1</v>
      </c>
      <c r="T914" s="3" t="str">
        <f t="shared" si="88"/>
        <v>Desk</v>
      </c>
    </row>
    <row r="915" spans="1:20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89"/>
        <v>2379.75</v>
      </c>
      <c r="P915" t="str">
        <f t="shared" si="84"/>
        <v>Correct</v>
      </c>
      <c r="Q915" t="str">
        <f t="shared" si="85"/>
        <v>February</v>
      </c>
      <c r="R915" s="3">
        <f t="shared" si="86"/>
        <v>2023</v>
      </c>
      <c r="S915" s="3" t="str">
        <f t="shared" si="87"/>
        <v>Q1</v>
      </c>
      <c r="T915" s="3" t="str">
        <f t="shared" si="88"/>
        <v>Printer</v>
      </c>
    </row>
    <row r="916" spans="1:20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89"/>
        <v>626.6</v>
      </c>
      <c r="P916" t="str">
        <f t="shared" si="84"/>
        <v>Correct</v>
      </c>
      <c r="Q916" t="str">
        <f t="shared" si="85"/>
        <v>February</v>
      </c>
      <c r="R916" s="3">
        <f t="shared" si="86"/>
        <v>2025</v>
      </c>
      <c r="S916" s="3" t="str">
        <f t="shared" si="87"/>
        <v>Q1</v>
      </c>
      <c r="T916" s="3" t="str">
        <f t="shared" si="88"/>
        <v>Desk</v>
      </c>
    </row>
    <row r="917" spans="1:20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89"/>
        <v>2011.96</v>
      </c>
      <c r="P917" t="str">
        <f t="shared" si="84"/>
        <v>Correct</v>
      </c>
      <c r="Q917" t="str">
        <f t="shared" si="85"/>
        <v>February</v>
      </c>
      <c r="R917" s="3">
        <f t="shared" si="86"/>
        <v>2024</v>
      </c>
      <c r="S917" s="3" t="str">
        <f t="shared" si="87"/>
        <v>Q1</v>
      </c>
      <c r="T917" s="3" t="str">
        <f t="shared" si="88"/>
        <v>Laptop</v>
      </c>
    </row>
    <row r="918" spans="1:20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89"/>
        <v>2894.15</v>
      </c>
      <c r="P918" t="str">
        <f t="shared" si="84"/>
        <v>Correct</v>
      </c>
      <c r="Q918" t="str">
        <f t="shared" si="85"/>
        <v>June</v>
      </c>
      <c r="R918" s="3">
        <f t="shared" si="86"/>
        <v>2024</v>
      </c>
      <c r="S918" s="3" t="str">
        <f t="shared" si="87"/>
        <v>Q2</v>
      </c>
      <c r="T918" s="3" t="str">
        <f t="shared" si="88"/>
        <v>Printer</v>
      </c>
    </row>
    <row r="919" spans="1:20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89"/>
        <v>1919.1</v>
      </c>
      <c r="P919" t="str">
        <f t="shared" si="84"/>
        <v>Correct</v>
      </c>
      <c r="Q919" t="str">
        <f t="shared" si="85"/>
        <v>January</v>
      </c>
      <c r="R919" s="3">
        <f t="shared" si="86"/>
        <v>2025</v>
      </c>
      <c r="S919" s="3" t="str">
        <f t="shared" si="87"/>
        <v>Q1</v>
      </c>
      <c r="T919" s="3" t="str">
        <f t="shared" si="88"/>
        <v>Laptop</v>
      </c>
    </row>
    <row r="920" spans="1:20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89"/>
        <v>1841.25</v>
      </c>
      <c r="P920" t="str">
        <f t="shared" si="84"/>
        <v>Correct</v>
      </c>
      <c r="Q920" t="str">
        <f t="shared" si="85"/>
        <v>June</v>
      </c>
      <c r="R920" s="3">
        <f t="shared" si="86"/>
        <v>2025</v>
      </c>
      <c r="S920" s="3" t="str">
        <f t="shared" si="87"/>
        <v>Q2</v>
      </c>
      <c r="T920" s="3" t="str">
        <f t="shared" si="88"/>
        <v>Laptop</v>
      </c>
    </row>
    <row r="921" spans="1:20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89"/>
        <v>749.2</v>
      </c>
      <c r="P921" t="str">
        <f t="shared" si="84"/>
        <v>Correct</v>
      </c>
      <c r="Q921" t="str">
        <f t="shared" si="85"/>
        <v>February</v>
      </c>
      <c r="R921" s="3">
        <f t="shared" si="86"/>
        <v>2025</v>
      </c>
      <c r="S921" s="3" t="str">
        <f t="shared" si="87"/>
        <v>Q1</v>
      </c>
      <c r="T921" s="3" t="str">
        <f t="shared" si="88"/>
        <v>Printer</v>
      </c>
    </row>
    <row r="922" spans="1:20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89"/>
        <v>856.18</v>
      </c>
      <c r="P922" t="str">
        <f t="shared" si="84"/>
        <v>Correct</v>
      </c>
      <c r="Q922" t="str">
        <f t="shared" si="85"/>
        <v>March</v>
      </c>
      <c r="R922" s="3">
        <f t="shared" si="86"/>
        <v>2025</v>
      </c>
      <c r="S922" s="3" t="str">
        <f t="shared" si="87"/>
        <v>Q1</v>
      </c>
      <c r="T922" s="3" t="str">
        <f t="shared" si="88"/>
        <v>Tablet</v>
      </c>
    </row>
    <row r="923" spans="1:20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89"/>
        <v>438.93</v>
      </c>
      <c r="P923" t="str">
        <f t="shared" si="84"/>
        <v>Correct</v>
      </c>
      <c r="Q923" t="str">
        <f t="shared" si="85"/>
        <v>July</v>
      </c>
      <c r="R923" s="3">
        <f t="shared" si="86"/>
        <v>2023</v>
      </c>
      <c r="S923" s="3" t="str">
        <f t="shared" si="87"/>
        <v>Q3</v>
      </c>
      <c r="T923" s="3" t="str">
        <f t="shared" si="88"/>
        <v>Tablet</v>
      </c>
    </row>
    <row r="924" spans="1:20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89"/>
        <v>1127.6400000000001</v>
      </c>
      <c r="P924" t="str">
        <f t="shared" si="84"/>
        <v>Correct</v>
      </c>
      <c r="Q924" t="str">
        <f t="shared" si="85"/>
        <v>June</v>
      </c>
      <c r="R924" s="3">
        <f t="shared" si="86"/>
        <v>2024</v>
      </c>
      <c r="S924" s="3" t="str">
        <f t="shared" si="87"/>
        <v>Q2</v>
      </c>
      <c r="T924" s="3" t="str">
        <f t="shared" si="88"/>
        <v>Desk</v>
      </c>
    </row>
    <row r="925" spans="1:20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89"/>
        <v>1949.79</v>
      </c>
      <c r="P925" t="str">
        <f t="shared" si="84"/>
        <v>Correct</v>
      </c>
      <c r="Q925" t="str">
        <f t="shared" si="85"/>
        <v>February</v>
      </c>
      <c r="R925" s="3">
        <f t="shared" si="86"/>
        <v>2023</v>
      </c>
      <c r="S925" s="3" t="str">
        <f t="shared" si="87"/>
        <v>Q1</v>
      </c>
      <c r="T925" s="3" t="str">
        <f t="shared" si="88"/>
        <v>Printer</v>
      </c>
    </row>
    <row r="926" spans="1:20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89"/>
        <v>1342.15</v>
      </c>
      <c r="P926" t="str">
        <f t="shared" si="84"/>
        <v>Correct</v>
      </c>
      <c r="Q926" t="str">
        <f t="shared" si="85"/>
        <v>March</v>
      </c>
      <c r="R926" s="3">
        <f t="shared" si="86"/>
        <v>2025</v>
      </c>
      <c r="S926" s="3" t="str">
        <f t="shared" si="87"/>
        <v>Q1</v>
      </c>
      <c r="T926" s="3" t="str">
        <f t="shared" si="88"/>
        <v>Printer</v>
      </c>
    </row>
    <row r="927" spans="1:20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89"/>
        <v>2512.3500000000004</v>
      </c>
      <c r="P927" t="str">
        <f t="shared" si="84"/>
        <v>Correct</v>
      </c>
      <c r="Q927" t="str">
        <f t="shared" si="85"/>
        <v>December</v>
      </c>
      <c r="R927" s="3">
        <f t="shared" si="86"/>
        <v>2024</v>
      </c>
      <c r="S927" s="3" t="str">
        <f t="shared" si="87"/>
        <v>Q4</v>
      </c>
      <c r="T927" s="3" t="str">
        <f t="shared" si="88"/>
        <v>Monitor</v>
      </c>
    </row>
    <row r="928" spans="1:20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89"/>
        <v>26.95</v>
      </c>
      <c r="P928" t="str">
        <f t="shared" si="84"/>
        <v>Correct</v>
      </c>
      <c r="Q928" t="str">
        <f t="shared" si="85"/>
        <v>March</v>
      </c>
      <c r="R928" s="3">
        <f t="shared" si="86"/>
        <v>2024</v>
      </c>
      <c r="S928" s="3" t="str">
        <f t="shared" si="87"/>
        <v>Q1</v>
      </c>
      <c r="T928" s="3" t="str">
        <f t="shared" si="88"/>
        <v>Desk</v>
      </c>
    </row>
    <row r="929" spans="1:20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89"/>
        <v>258.76</v>
      </c>
      <c r="P929" t="str">
        <f t="shared" si="84"/>
        <v>Correct</v>
      </c>
      <c r="Q929" t="str">
        <f t="shared" si="85"/>
        <v>February</v>
      </c>
      <c r="R929" s="3">
        <f t="shared" si="86"/>
        <v>2023</v>
      </c>
      <c r="S929" s="3" t="str">
        <f t="shared" si="87"/>
        <v>Q1</v>
      </c>
      <c r="T929" s="3" t="str">
        <f t="shared" si="88"/>
        <v>Laptop</v>
      </c>
    </row>
    <row r="930" spans="1:20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89"/>
        <v>741.33</v>
      </c>
      <c r="P930" t="str">
        <f t="shared" si="84"/>
        <v>Correct</v>
      </c>
      <c r="Q930" t="str">
        <f t="shared" si="85"/>
        <v>May</v>
      </c>
      <c r="R930" s="3">
        <f t="shared" si="86"/>
        <v>2024</v>
      </c>
      <c r="S930" s="3" t="str">
        <f t="shared" si="87"/>
        <v>Q2</v>
      </c>
      <c r="T930" s="3" t="str">
        <f t="shared" si="88"/>
        <v>Laptop</v>
      </c>
    </row>
    <row r="931" spans="1:20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89"/>
        <v>1072.5</v>
      </c>
      <c r="P931" t="str">
        <f t="shared" si="84"/>
        <v>Correct</v>
      </c>
      <c r="Q931" t="str">
        <f t="shared" si="85"/>
        <v>October</v>
      </c>
      <c r="R931" s="3">
        <f t="shared" si="86"/>
        <v>2024</v>
      </c>
      <c r="S931" s="3" t="str">
        <f t="shared" si="87"/>
        <v>Q4</v>
      </c>
      <c r="T931" s="3" t="str">
        <f t="shared" si="88"/>
        <v>Tablet</v>
      </c>
    </row>
    <row r="932" spans="1:20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89"/>
        <v>912.08</v>
      </c>
      <c r="P932" t="str">
        <f t="shared" si="84"/>
        <v>Correct</v>
      </c>
      <c r="Q932" t="str">
        <f t="shared" si="85"/>
        <v>December</v>
      </c>
      <c r="R932" s="3">
        <f t="shared" si="86"/>
        <v>2024</v>
      </c>
      <c r="S932" s="3" t="str">
        <f t="shared" si="87"/>
        <v>Q4</v>
      </c>
      <c r="T932" s="3" t="str">
        <f t="shared" si="88"/>
        <v>Phone</v>
      </c>
    </row>
    <row r="933" spans="1:20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89"/>
        <v>80.459999999999994</v>
      </c>
      <c r="P933" t="str">
        <f t="shared" si="84"/>
        <v>Correct</v>
      </c>
      <c r="Q933" t="str">
        <f t="shared" si="85"/>
        <v>January</v>
      </c>
      <c r="R933" s="3">
        <f t="shared" si="86"/>
        <v>2024</v>
      </c>
      <c r="S933" s="3" t="str">
        <f t="shared" si="87"/>
        <v>Q1</v>
      </c>
      <c r="T933" s="3" t="str">
        <f t="shared" si="88"/>
        <v>Printer</v>
      </c>
    </row>
    <row r="934" spans="1:20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89"/>
        <v>144.78</v>
      </c>
      <c r="P934" t="str">
        <f t="shared" si="84"/>
        <v>Correct</v>
      </c>
      <c r="Q934" t="str">
        <f t="shared" si="85"/>
        <v>March</v>
      </c>
      <c r="R934" s="3">
        <f t="shared" si="86"/>
        <v>2023</v>
      </c>
      <c r="S934" s="3" t="str">
        <f t="shared" si="87"/>
        <v>Q1</v>
      </c>
      <c r="T934" s="3" t="str">
        <f t="shared" si="88"/>
        <v>Laptop</v>
      </c>
    </row>
    <row r="935" spans="1:20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89"/>
        <v>788.32</v>
      </c>
      <c r="P935" t="str">
        <f t="shared" si="84"/>
        <v>Correct</v>
      </c>
      <c r="Q935" t="str">
        <f t="shared" si="85"/>
        <v>January</v>
      </c>
      <c r="R935" s="3">
        <f t="shared" si="86"/>
        <v>2023</v>
      </c>
      <c r="S935" s="3" t="str">
        <f t="shared" si="87"/>
        <v>Q1</v>
      </c>
      <c r="T935" s="3" t="str">
        <f t="shared" si="88"/>
        <v>Monitor</v>
      </c>
    </row>
    <row r="936" spans="1:20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89"/>
        <v>479.36</v>
      </c>
      <c r="P936" t="str">
        <f t="shared" si="84"/>
        <v>Correct</v>
      </c>
      <c r="Q936" t="str">
        <f t="shared" si="85"/>
        <v>June</v>
      </c>
      <c r="R936" s="3">
        <f t="shared" si="86"/>
        <v>2025</v>
      </c>
      <c r="S936" s="3" t="str">
        <f t="shared" si="87"/>
        <v>Q2</v>
      </c>
      <c r="T936" s="3" t="str">
        <f t="shared" si="88"/>
        <v>Laptop</v>
      </c>
    </row>
    <row r="937" spans="1:20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89"/>
        <v>2078.13</v>
      </c>
      <c r="P937" t="str">
        <f t="shared" si="84"/>
        <v>Correct</v>
      </c>
      <c r="Q937" t="str">
        <f t="shared" si="85"/>
        <v>November</v>
      </c>
      <c r="R937" s="3">
        <f t="shared" si="86"/>
        <v>2023</v>
      </c>
      <c r="S937" s="3" t="str">
        <f t="shared" si="87"/>
        <v>Q4</v>
      </c>
      <c r="T937" s="3" t="str">
        <f t="shared" si="88"/>
        <v>Phone</v>
      </c>
    </row>
    <row r="938" spans="1:20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89"/>
        <v>226.64</v>
      </c>
      <c r="P938" t="str">
        <f t="shared" si="84"/>
        <v>Correct</v>
      </c>
      <c r="Q938" t="str">
        <f t="shared" si="85"/>
        <v>January</v>
      </c>
      <c r="R938" s="3">
        <f t="shared" si="86"/>
        <v>2024</v>
      </c>
      <c r="S938" s="3" t="str">
        <f t="shared" si="87"/>
        <v>Q1</v>
      </c>
      <c r="T938" s="3" t="str">
        <f t="shared" si="88"/>
        <v>Chair</v>
      </c>
    </row>
    <row r="939" spans="1:20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89"/>
        <v>597.05999999999995</v>
      </c>
      <c r="P939" t="str">
        <f t="shared" si="84"/>
        <v>Correct</v>
      </c>
      <c r="Q939" t="str">
        <f t="shared" si="85"/>
        <v>January</v>
      </c>
      <c r="R939" s="3">
        <f t="shared" si="86"/>
        <v>2024</v>
      </c>
      <c r="S939" s="3" t="str">
        <f t="shared" si="87"/>
        <v>Q1</v>
      </c>
      <c r="T939" s="3" t="str">
        <f t="shared" si="88"/>
        <v>Chair</v>
      </c>
    </row>
    <row r="940" spans="1:20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89"/>
        <v>994.37999999999988</v>
      </c>
      <c r="P940" t="str">
        <f t="shared" si="84"/>
        <v>Correct</v>
      </c>
      <c r="Q940" t="str">
        <f t="shared" si="85"/>
        <v>July</v>
      </c>
      <c r="R940" s="3">
        <f t="shared" si="86"/>
        <v>2023</v>
      </c>
      <c r="S940" s="3" t="str">
        <f t="shared" si="87"/>
        <v>Q3</v>
      </c>
      <c r="T940" s="3" t="str">
        <f t="shared" si="88"/>
        <v>Chair</v>
      </c>
    </row>
    <row r="941" spans="1:20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89"/>
        <v>1042.8</v>
      </c>
      <c r="P941" t="str">
        <f t="shared" si="84"/>
        <v>Correct</v>
      </c>
      <c r="Q941" t="str">
        <f t="shared" si="85"/>
        <v>April</v>
      </c>
      <c r="R941" s="3">
        <f t="shared" si="86"/>
        <v>2025</v>
      </c>
      <c r="S941" s="3" t="str">
        <f t="shared" si="87"/>
        <v>Q2</v>
      </c>
      <c r="T941" s="3" t="str">
        <f t="shared" si="88"/>
        <v>Laptop</v>
      </c>
    </row>
    <row r="942" spans="1:20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89"/>
        <v>1221.28</v>
      </c>
      <c r="P942" t="str">
        <f t="shared" si="84"/>
        <v>Correct</v>
      </c>
      <c r="Q942" t="str">
        <f t="shared" si="85"/>
        <v>March</v>
      </c>
      <c r="R942" s="3">
        <f t="shared" si="86"/>
        <v>2023</v>
      </c>
      <c r="S942" s="3" t="str">
        <f t="shared" si="87"/>
        <v>Q1</v>
      </c>
      <c r="T942" s="3" t="str">
        <f t="shared" si="88"/>
        <v>Printer</v>
      </c>
    </row>
    <row r="943" spans="1:20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89"/>
        <v>558.5</v>
      </c>
      <c r="P943" t="str">
        <f t="shared" si="84"/>
        <v>Correct</v>
      </c>
      <c r="Q943" t="str">
        <f t="shared" si="85"/>
        <v>July</v>
      </c>
      <c r="R943" s="3">
        <f t="shared" si="86"/>
        <v>2023</v>
      </c>
      <c r="S943" s="3" t="str">
        <f t="shared" si="87"/>
        <v>Q3</v>
      </c>
      <c r="T943" s="3" t="str">
        <f t="shared" si="88"/>
        <v>Printer</v>
      </c>
    </row>
    <row r="944" spans="1:20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89"/>
        <v>479.76</v>
      </c>
      <c r="P944" t="str">
        <f t="shared" si="84"/>
        <v>Correct</v>
      </c>
      <c r="Q944" t="str">
        <f t="shared" si="85"/>
        <v>September</v>
      </c>
      <c r="R944" s="3">
        <f t="shared" si="86"/>
        <v>2023</v>
      </c>
      <c r="S944" s="3" t="str">
        <f t="shared" si="87"/>
        <v>Q3</v>
      </c>
      <c r="T944" s="3" t="str">
        <f t="shared" si="88"/>
        <v>Tablet</v>
      </c>
    </row>
    <row r="945" spans="1:20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89"/>
        <v>580.47</v>
      </c>
      <c r="P945" t="str">
        <f t="shared" si="84"/>
        <v>Correct</v>
      </c>
      <c r="Q945" t="str">
        <f t="shared" si="85"/>
        <v>December</v>
      </c>
      <c r="R945" s="3">
        <f t="shared" si="86"/>
        <v>2023</v>
      </c>
      <c r="S945" s="3" t="str">
        <f t="shared" si="87"/>
        <v>Q4</v>
      </c>
      <c r="T945" s="3" t="str">
        <f t="shared" si="88"/>
        <v>Monitor</v>
      </c>
    </row>
    <row r="946" spans="1:20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89"/>
        <v>852.44</v>
      </c>
      <c r="P946" t="str">
        <f t="shared" si="84"/>
        <v>Correct</v>
      </c>
      <c r="Q946" t="str">
        <f t="shared" si="85"/>
        <v>December</v>
      </c>
      <c r="R946" s="3">
        <f t="shared" si="86"/>
        <v>2024</v>
      </c>
      <c r="S946" s="3" t="str">
        <f t="shared" si="87"/>
        <v>Q4</v>
      </c>
      <c r="T946" s="3" t="str">
        <f t="shared" si="88"/>
        <v>Laptop</v>
      </c>
    </row>
    <row r="947" spans="1:20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89"/>
        <v>1382.2</v>
      </c>
      <c r="P947" t="str">
        <f t="shared" si="84"/>
        <v>Correct</v>
      </c>
      <c r="Q947" t="str">
        <f t="shared" si="85"/>
        <v>August</v>
      </c>
      <c r="R947" s="3">
        <f t="shared" si="86"/>
        <v>2023</v>
      </c>
      <c r="S947" s="3" t="str">
        <f t="shared" si="87"/>
        <v>Q3</v>
      </c>
      <c r="T947" s="3" t="str">
        <f t="shared" si="88"/>
        <v>Tablet</v>
      </c>
    </row>
    <row r="948" spans="1:20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89"/>
        <v>809.92</v>
      </c>
      <c r="P948" t="str">
        <f t="shared" si="84"/>
        <v>Correct</v>
      </c>
      <c r="Q948" t="str">
        <f t="shared" si="85"/>
        <v>May</v>
      </c>
      <c r="R948" s="3">
        <f t="shared" si="86"/>
        <v>2024</v>
      </c>
      <c r="S948" s="3" t="str">
        <f t="shared" si="87"/>
        <v>Q2</v>
      </c>
      <c r="T948" s="3" t="str">
        <f t="shared" si="88"/>
        <v>Phone</v>
      </c>
    </row>
    <row r="949" spans="1:20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89"/>
        <v>1862.64</v>
      </c>
      <c r="P949" t="str">
        <f t="shared" si="84"/>
        <v>Correct</v>
      </c>
      <c r="Q949" t="str">
        <f t="shared" si="85"/>
        <v>September</v>
      </c>
      <c r="R949" s="3">
        <f t="shared" si="86"/>
        <v>2023</v>
      </c>
      <c r="S949" s="3" t="str">
        <f t="shared" si="87"/>
        <v>Q3</v>
      </c>
      <c r="T949" s="3" t="str">
        <f t="shared" si="88"/>
        <v>Phone</v>
      </c>
    </row>
    <row r="950" spans="1:20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89"/>
        <v>1188.1400000000001</v>
      </c>
      <c r="P950" t="str">
        <f t="shared" si="84"/>
        <v>Correct</v>
      </c>
      <c r="Q950" t="str">
        <f t="shared" si="85"/>
        <v>June</v>
      </c>
      <c r="R950" s="3">
        <f t="shared" si="86"/>
        <v>2024</v>
      </c>
      <c r="S950" s="3" t="str">
        <f t="shared" si="87"/>
        <v>Q2</v>
      </c>
      <c r="T950" s="3" t="str">
        <f t="shared" si="88"/>
        <v>Phone</v>
      </c>
    </row>
    <row r="951" spans="1:20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89"/>
        <v>551.9</v>
      </c>
      <c r="P951" t="str">
        <f t="shared" si="84"/>
        <v>Correct</v>
      </c>
      <c r="Q951" t="str">
        <f t="shared" si="85"/>
        <v>November</v>
      </c>
      <c r="R951" s="3">
        <f t="shared" si="86"/>
        <v>2023</v>
      </c>
      <c r="S951" s="3" t="str">
        <f t="shared" si="87"/>
        <v>Q4</v>
      </c>
      <c r="T951" s="3" t="str">
        <f t="shared" si="88"/>
        <v>Desk</v>
      </c>
    </row>
    <row r="952" spans="1:20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89"/>
        <v>596.24</v>
      </c>
      <c r="P952" t="str">
        <f t="shared" si="84"/>
        <v>Correct</v>
      </c>
      <c r="Q952" t="str">
        <f t="shared" si="85"/>
        <v>May</v>
      </c>
      <c r="R952" s="3">
        <f t="shared" si="86"/>
        <v>2024</v>
      </c>
      <c r="S952" s="3" t="str">
        <f t="shared" si="87"/>
        <v>Q2</v>
      </c>
      <c r="T952" s="3" t="str">
        <f t="shared" si="88"/>
        <v>Laptop</v>
      </c>
    </row>
    <row r="953" spans="1:20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89"/>
        <v>612.48</v>
      </c>
      <c r="P953" t="str">
        <f t="shared" si="84"/>
        <v>Correct</v>
      </c>
      <c r="Q953" t="str">
        <f t="shared" si="85"/>
        <v>July</v>
      </c>
      <c r="R953" s="3">
        <f t="shared" si="86"/>
        <v>2024</v>
      </c>
      <c r="S953" s="3" t="str">
        <f t="shared" si="87"/>
        <v>Q3</v>
      </c>
      <c r="T953" s="3" t="str">
        <f t="shared" si="88"/>
        <v>Printer</v>
      </c>
    </row>
    <row r="954" spans="1:20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89"/>
        <v>1510.17</v>
      </c>
      <c r="P954" t="str">
        <f t="shared" si="84"/>
        <v>Correct</v>
      </c>
      <c r="Q954" t="str">
        <f t="shared" si="85"/>
        <v>February</v>
      </c>
      <c r="R954" s="3">
        <f t="shared" si="86"/>
        <v>2025</v>
      </c>
      <c r="S954" s="3" t="str">
        <f t="shared" si="87"/>
        <v>Q1</v>
      </c>
      <c r="T954" s="3" t="str">
        <f t="shared" si="88"/>
        <v>Monitor</v>
      </c>
    </row>
    <row r="955" spans="1:20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89"/>
        <v>131.61000000000001</v>
      </c>
      <c r="P955" t="str">
        <f t="shared" si="84"/>
        <v>Correct</v>
      </c>
      <c r="Q955" t="str">
        <f t="shared" si="85"/>
        <v>February</v>
      </c>
      <c r="R955" s="3">
        <f t="shared" si="86"/>
        <v>2023</v>
      </c>
      <c r="S955" s="3" t="str">
        <f t="shared" si="87"/>
        <v>Q1</v>
      </c>
      <c r="T955" s="3" t="str">
        <f t="shared" si="88"/>
        <v>Phone</v>
      </c>
    </row>
    <row r="956" spans="1:20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89"/>
        <v>1330.32</v>
      </c>
      <c r="P956" t="str">
        <f t="shared" si="84"/>
        <v>Correct</v>
      </c>
      <c r="Q956" t="str">
        <f t="shared" si="85"/>
        <v>October</v>
      </c>
      <c r="R956" s="3">
        <f t="shared" si="86"/>
        <v>2024</v>
      </c>
      <c r="S956" s="3" t="str">
        <f t="shared" si="87"/>
        <v>Q4</v>
      </c>
      <c r="T956" s="3" t="str">
        <f t="shared" si="88"/>
        <v>Chair</v>
      </c>
    </row>
    <row r="957" spans="1:20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89"/>
        <v>408.13</v>
      </c>
      <c r="P957" t="str">
        <f t="shared" si="84"/>
        <v>Correct</v>
      </c>
      <c r="Q957" t="str">
        <f t="shared" si="85"/>
        <v>January</v>
      </c>
      <c r="R957" s="3">
        <f t="shared" si="86"/>
        <v>2023</v>
      </c>
      <c r="S957" s="3" t="str">
        <f t="shared" si="87"/>
        <v>Q1</v>
      </c>
      <c r="T957" s="3" t="str">
        <f t="shared" si="88"/>
        <v>Chair</v>
      </c>
    </row>
    <row r="958" spans="1:20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89"/>
        <v>321.95999999999998</v>
      </c>
      <c r="P958" t="str">
        <f t="shared" si="84"/>
        <v>Correct</v>
      </c>
      <c r="Q958" t="str">
        <f t="shared" si="85"/>
        <v>April</v>
      </c>
      <c r="R958" s="3">
        <f t="shared" si="86"/>
        <v>2024</v>
      </c>
      <c r="S958" s="3" t="str">
        <f t="shared" si="87"/>
        <v>Q2</v>
      </c>
      <c r="T958" s="3" t="str">
        <f t="shared" si="88"/>
        <v>Phone</v>
      </c>
    </row>
    <row r="959" spans="1:20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89"/>
        <v>3219.45</v>
      </c>
      <c r="P959" t="str">
        <f t="shared" si="84"/>
        <v>Correct</v>
      </c>
      <c r="Q959" t="str">
        <f t="shared" si="85"/>
        <v>January</v>
      </c>
      <c r="R959" s="3">
        <f t="shared" si="86"/>
        <v>2023</v>
      </c>
      <c r="S959" s="3" t="str">
        <f t="shared" si="87"/>
        <v>Q1</v>
      </c>
      <c r="T959" s="3" t="str">
        <f t="shared" si="88"/>
        <v>Monitor</v>
      </c>
    </row>
    <row r="960" spans="1:20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89"/>
        <v>475.98</v>
      </c>
      <c r="P960" t="str">
        <f t="shared" si="84"/>
        <v>Correct</v>
      </c>
      <c r="Q960" t="str">
        <f t="shared" si="85"/>
        <v>May</v>
      </c>
      <c r="R960" s="3">
        <f t="shared" si="86"/>
        <v>2023</v>
      </c>
      <c r="S960" s="3" t="str">
        <f t="shared" si="87"/>
        <v>Q2</v>
      </c>
      <c r="T960" s="3" t="str">
        <f t="shared" si="88"/>
        <v>Desk</v>
      </c>
    </row>
    <row r="961" spans="1:20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89"/>
        <v>287.64</v>
      </c>
      <c r="P961" t="str">
        <f t="shared" si="84"/>
        <v>Correct</v>
      </c>
      <c r="Q961" t="str">
        <f t="shared" si="85"/>
        <v>April</v>
      </c>
      <c r="R961" s="3">
        <f t="shared" si="86"/>
        <v>2024</v>
      </c>
      <c r="S961" s="3" t="str">
        <f t="shared" si="87"/>
        <v>Q2</v>
      </c>
      <c r="T961" s="3" t="str">
        <f t="shared" si="88"/>
        <v>Tablet</v>
      </c>
    </row>
    <row r="962" spans="1:20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89"/>
        <v>1137.21</v>
      </c>
      <c r="P962" t="str">
        <f t="shared" ref="P962:P1025" si="90">IF(O962=N962,"Correct","Error")</f>
        <v>Correct</v>
      </c>
      <c r="Q962" t="str">
        <f t="shared" ref="Q962:Q1025" si="91">TEXT(B962,"MMMM")</f>
        <v>December</v>
      </c>
      <c r="R962" s="3">
        <f t="shared" ref="R962:R1025" si="92">YEAR(B962)</f>
        <v>2023</v>
      </c>
      <c r="S962" s="3" t="str">
        <f t="shared" ref="S962:S1025" si="93">"Q"&amp;ROUNDUP(MONTH(B962)/3,0)</f>
        <v>Q4</v>
      </c>
      <c r="T962" s="3" t="str">
        <f t="shared" ref="T962:T1025" si="94">TRIM(D962)</f>
        <v>Laptop</v>
      </c>
    </row>
    <row r="963" spans="1:20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95">E963*F963</f>
        <v>601.36</v>
      </c>
      <c r="P963" t="str">
        <f t="shared" si="90"/>
        <v>Correct</v>
      </c>
      <c r="Q963" t="str">
        <f t="shared" si="91"/>
        <v>November</v>
      </c>
      <c r="R963" s="3">
        <f t="shared" si="92"/>
        <v>2024</v>
      </c>
      <c r="S963" s="3" t="str">
        <f t="shared" si="93"/>
        <v>Q4</v>
      </c>
      <c r="T963" s="3" t="str">
        <f t="shared" si="94"/>
        <v>Phone</v>
      </c>
    </row>
    <row r="964" spans="1:20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95"/>
        <v>284.16000000000003</v>
      </c>
      <c r="P964" t="str">
        <f t="shared" si="90"/>
        <v>Correct</v>
      </c>
      <c r="Q964" t="str">
        <f t="shared" si="91"/>
        <v>September</v>
      </c>
      <c r="R964" s="3">
        <f t="shared" si="92"/>
        <v>2024</v>
      </c>
      <c r="S964" s="3" t="str">
        <f t="shared" si="93"/>
        <v>Q3</v>
      </c>
      <c r="T964" s="3" t="str">
        <f t="shared" si="94"/>
        <v>Phone</v>
      </c>
    </row>
    <row r="965" spans="1:20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95"/>
        <v>2651.7000000000003</v>
      </c>
      <c r="P965" t="str">
        <f t="shared" si="90"/>
        <v>Correct</v>
      </c>
      <c r="Q965" t="str">
        <f t="shared" si="91"/>
        <v>March</v>
      </c>
      <c r="R965" s="3">
        <f t="shared" si="92"/>
        <v>2024</v>
      </c>
      <c r="S965" s="3" t="str">
        <f t="shared" si="93"/>
        <v>Q1</v>
      </c>
      <c r="T965" s="3" t="str">
        <f t="shared" si="94"/>
        <v>Chair</v>
      </c>
    </row>
    <row r="966" spans="1:20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95"/>
        <v>1822.1000000000001</v>
      </c>
      <c r="P966" t="str">
        <f t="shared" si="90"/>
        <v>Correct</v>
      </c>
      <c r="Q966" t="str">
        <f t="shared" si="91"/>
        <v>August</v>
      </c>
      <c r="R966" s="3">
        <f t="shared" si="92"/>
        <v>2023</v>
      </c>
      <c r="S966" s="3" t="str">
        <f t="shared" si="93"/>
        <v>Q3</v>
      </c>
      <c r="T966" s="3" t="str">
        <f t="shared" si="94"/>
        <v>Phone</v>
      </c>
    </row>
    <row r="967" spans="1:20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95"/>
        <v>2313.12</v>
      </c>
      <c r="P967" t="str">
        <f t="shared" si="90"/>
        <v>Correct</v>
      </c>
      <c r="Q967" t="str">
        <f t="shared" si="91"/>
        <v>June</v>
      </c>
      <c r="R967" s="3">
        <f t="shared" si="92"/>
        <v>2025</v>
      </c>
      <c r="S967" s="3" t="str">
        <f t="shared" si="93"/>
        <v>Q2</v>
      </c>
      <c r="T967" s="3" t="str">
        <f t="shared" si="94"/>
        <v>Laptop</v>
      </c>
    </row>
    <row r="968" spans="1:20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95"/>
        <v>1402.6</v>
      </c>
      <c r="P968" t="str">
        <f t="shared" si="90"/>
        <v>Correct</v>
      </c>
      <c r="Q968" t="str">
        <f t="shared" si="91"/>
        <v>May</v>
      </c>
      <c r="R968" s="3">
        <f t="shared" si="92"/>
        <v>2025</v>
      </c>
      <c r="S968" s="3" t="str">
        <f t="shared" si="93"/>
        <v>Q2</v>
      </c>
      <c r="T968" s="3" t="str">
        <f t="shared" si="94"/>
        <v>Monitor</v>
      </c>
    </row>
    <row r="969" spans="1:20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95"/>
        <v>3194.6</v>
      </c>
      <c r="P969" t="str">
        <f t="shared" si="90"/>
        <v>Correct</v>
      </c>
      <c r="Q969" t="str">
        <f t="shared" si="91"/>
        <v>May</v>
      </c>
      <c r="R969" s="3">
        <f t="shared" si="92"/>
        <v>2025</v>
      </c>
      <c r="S969" s="3" t="str">
        <f t="shared" si="93"/>
        <v>Q2</v>
      </c>
      <c r="T969" s="3" t="str">
        <f t="shared" si="94"/>
        <v>Tablet</v>
      </c>
    </row>
    <row r="970" spans="1:20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95"/>
        <v>1648.8</v>
      </c>
      <c r="P970" t="str">
        <f t="shared" si="90"/>
        <v>Correct</v>
      </c>
      <c r="Q970" t="str">
        <f t="shared" si="91"/>
        <v>February</v>
      </c>
      <c r="R970" s="3">
        <f t="shared" si="92"/>
        <v>2024</v>
      </c>
      <c r="S970" s="3" t="str">
        <f t="shared" si="93"/>
        <v>Q1</v>
      </c>
      <c r="T970" s="3" t="str">
        <f t="shared" si="94"/>
        <v>Monitor</v>
      </c>
    </row>
    <row r="971" spans="1:20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95"/>
        <v>440.34</v>
      </c>
      <c r="P971" t="str">
        <f t="shared" si="90"/>
        <v>Correct</v>
      </c>
      <c r="Q971" t="str">
        <f t="shared" si="91"/>
        <v>June</v>
      </c>
      <c r="R971" s="3">
        <f t="shared" si="92"/>
        <v>2025</v>
      </c>
      <c r="S971" s="3" t="str">
        <f t="shared" si="93"/>
        <v>Q2</v>
      </c>
      <c r="T971" s="3" t="str">
        <f t="shared" si="94"/>
        <v>Desk</v>
      </c>
    </row>
    <row r="972" spans="1:20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95"/>
        <v>627.15</v>
      </c>
      <c r="P972" t="str">
        <f t="shared" si="90"/>
        <v>Correct</v>
      </c>
      <c r="Q972" t="str">
        <f t="shared" si="91"/>
        <v>September</v>
      </c>
      <c r="R972" s="3">
        <f t="shared" si="92"/>
        <v>2024</v>
      </c>
      <c r="S972" s="3" t="str">
        <f t="shared" si="93"/>
        <v>Q3</v>
      </c>
      <c r="T972" s="3" t="str">
        <f t="shared" si="94"/>
        <v>Desk</v>
      </c>
    </row>
    <row r="973" spans="1:20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95"/>
        <v>1210.52</v>
      </c>
      <c r="P973" t="str">
        <f t="shared" si="90"/>
        <v>Correct</v>
      </c>
      <c r="Q973" t="str">
        <f t="shared" si="91"/>
        <v>May</v>
      </c>
      <c r="R973" s="3">
        <f t="shared" si="92"/>
        <v>2024</v>
      </c>
      <c r="S973" s="3" t="str">
        <f t="shared" si="93"/>
        <v>Q2</v>
      </c>
      <c r="T973" s="3" t="str">
        <f t="shared" si="94"/>
        <v>Monitor</v>
      </c>
    </row>
    <row r="974" spans="1:20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95"/>
        <v>90.27</v>
      </c>
      <c r="P974" t="str">
        <f t="shared" si="90"/>
        <v>Correct</v>
      </c>
      <c r="Q974" t="str">
        <f t="shared" si="91"/>
        <v>June</v>
      </c>
      <c r="R974" s="3">
        <f t="shared" si="92"/>
        <v>2024</v>
      </c>
      <c r="S974" s="3" t="str">
        <f t="shared" si="93"/>
        <v>Q2</v>
      </c>
      <c r="T974" s="3" t="str">
        <f t="shared" si="94"/>
        <v>Laptop</v>
      </c>
    </row>
    <row r="975" spans="1:20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95"/>
        <v>1153.8500000000001</v>
      </c>
      <c r="P975" t="str">
        <f t="shared" si="90"/>
        <v>Correct</v>
      </c>
      <c r="Q975" t="str">
        <f t="shared" si="91"/>
        <v>June</v>
      </c>
      <c r="R975" s="3">
        <f t="shared" si="92"/>
        <v>2025</v>
      </c>
      <c r="S975" s="3" t="str">
        <f t="shared" si="93"/>
        <v>Q2</v>
      </c>
      <c r="T975" s="3" t="str">
        <f t="shared" si="94"/>
        <v>Desk</v>
      </c>
    </row>
    <row r="976" spans="1:20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95"/>
        <v>1333.8999999999999</v>
      </c>
      <c r="P976" t="str">
        <f t="shared" si="90"/>
        <v>Correct</v>
      </c>
      <c r="Q976" t="str">
        <f t="shared" si="91"/>
        <v>September</v>
      </c>
      <c r="R976" s="3">
        <f t="shared" si="92"/>
        <v>2023</v>
      </c>
      <c r="S976" s="3" t="str">
        <f t="shared" si="93"/>
        <v>Q3</v>
      </c>
      <c r="T976" s="3" t="str">
        <f t="shared" si="94"/>
        <v>Desk</v>
      </c>
    </row>
    <row r="977" spans="1:20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95"/>
        <v>105.92</v>
      </c>
      <c r="P977" t="str">
        <f t="shared" si="90"/>
        <v>Correct</v>
      </c>
      <c r="Q977" t="str">
        <f t="shared" si="91"/>
        <v>May</v>
      </c>
      <c r="R977" s="3">
        <f t="shared" si="92"/>
        <v>2023</v>
      </c>
      <c r="S977" s="3" t="str">
        <f t="shared" si="93"/>
        <v>Q2</v>
      </c>
      <c r="T977" s="3" t="str">
        <f t="shared" si="94"/>
        <v>Desk</v>
      </c>
    </row>
    <row r="978" spans="1:20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95"/>
        <v>1767.8999999999999</v>
      </c>
      <c r="P978" t="str">
        <f t="shared" si="90"/>
        <v>Correct</v>
      </c>
      <c r="Q978" t="str">
        <f t="shared" si="91"/>
        <v>April</v>
      </c>
      <c r="R978" s="3">
        <f t="shared" si="92"/>
        <v>2024</v>
      </c>
      <c r="S978" s="3" t="str">
        <f t="shared" si="93"/>
        <v>Q2</v>
      </c>
      <c r="T978" s="3" t="str">
        <f t="shared" si="94"/>
        <v>Tablet</v>
      </c>
    </row>
    <row r="979" spans="1:20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95"/>
        <v>2597.88</v>
      </c>
      <c r="P979" t="str">
        <f t="shared" si="90"/>
        <v>Correct</v>
      </c>
      <c r="Q979" t="str">
        <f t="shared" si="91"/>
        <v>January</v>
      </c>
      <c r="R979" s="3">
        <f t="shared" si="92"/>
        <v>2023</v>
      </c>
      <c r="S979" s="3" t="str">
        <f t="shared" si="93"/>
        <v>Q1</v>
      </c>
      <c r="T979" s="3" t="str">
        <f t="shared" si="94"/>
        <v>Chair</v>
      </c>
    </row>
    <row r="980" spans="1:20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95"/>
        <v>429.96</v>
      </c>
      <c r="P980" t="str">
        <f t="shared" si="90"/>
        <v>Correct</v>
      </c>
      <c r="Q980" t="str">
        <f t="shared" si="91"/>
        <v>June</v>
      </c>
      <c r="R980" s="3">
        <f t="shared" si="92"/>
        <v>2024</v>
      </c>
      <c r="S980" s="3" t="str">
        <f t="shared" si="93"/>
        <v>Q2</v>
      </c>
      <c r="T980" s="3" t="str">
        <f t="shared" si="94"/>
        <v>Printer</v>
      </c>
    </row>
    <row r="981" spans="1:20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95"/>
        <v>2007.1799999999998</v>
      </c>
      <c r="P981" t="str">
        <f t="shared" si="90"/>
        <v>Correct</v>
      </c>
      <c r="Q981" t="str">
        <f t="shared" si="91"/>
        <v>May</v>
      </c>
      <c r="R981" s="3">
        <f t="shared" si="92"/>
        <v>2023</v>
      </c>
      <c r="S981" s="3" t="str">
        <f t="shared" si="93"/>
        <v>Q2</v>
      </c>
      <c r="T981" s="3" t="str">
        <f t="shared" si="94"/>
        <v>Monitor</v>
      </c>
    </row>
    <row r="982" spans="1:20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95"/>
        <v>208.95000000000002</v>
      </c>
      <c r="P982" t="str">
        <f t="shared" si="90"/>
        <v>Correct</v>
      </c>
      <c r="Q982" t="str">
        <f t="shared" si="91"/>
        <v>October</v>
      </c>
      <c r="R982" s="3">
        <f t="shared" si="92"/>
        <v>2023</v>
      </c>
      <c r="S982" s="3" t="str">
        <f t="shared" si="93"/>
        <v>Q4</v>
      </c>
      <c r="T982" s="3" t="str">
        <f t="shared" si="94"/>
        <v>Chair</v>
      </c>
    </row>
    <row r="983" spans="1:20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95"/>
        <v>547.32000000000005</v>
      </c>
      <c r="P983" t="str">
        <f t="shared" si="90"/>
        <v>Correct</v>
      </c>
      <c r="Q983" t="str">
        <f t="shared" si="91"/>
        <v>November</v>
      </c>
      <c r="R983" s="3">
        <f t="shared" si="92"/>
        <v>2023</v>
      </c>
      <c r="S983" s="3" t="str">
        <f t="shared" si="93"/>
        <v>Q4</v>
      </c>
      <c r="T983" s="3" t="str">
        <f t="shared" si="94"/>
        <v>Phone</v>
      </c>
    </row>
    <row r="984" spans="1:20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95"/>
        <v>304.11</v>
      </c>
      <c r="P984" t="str">
        <f t="shared" si="90"/>
        <v>Correct</v>
      </c>
      <c r="Q984" t="str">
        <f t="shared" si="91"/>
        <v>September</v>
      </c>
      <c r="R984" s="3">
        <f t="shared" si="92"/>
        <v>2024</v>
      </c>
      <c r="S984" s="3" t="str">
        <f t="shared" si="93"/>
        <v>Q3</v>
      </c>
      <c r="T984" s="3" t="str">
        <f t="shared" si="94"/>
        <v>Monitor</v>
      </c>
    </row>
    <row r="985" spans="1:20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95"/>
        <v>1185.1199999999999</v>
      </c>
      <c r="P985" t="str">
        <f t="shared" si="90"/>
        <v>Correct</v>
      </c>
      <c r="Q985" t="str">
        <f t="shared" si="91"/>
        <v>November</v>
      </c>
      <c r="R985" s="3">
        <f t="shared" si="92"/>
        <v>2024</v>
      </c>
      <c r="S985" s="3" t="str">
        <f t="shared" si="93"/>
        <v>Q4</v>
      </c>
      <c r="T985" s="3" t="str">
        <f t="shared" si="94"/>
        <v>Monitor</v>
      </c>
    </row>
    <row r="986" spans="1:20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95"/>
        <v>77.64</v>
      </c>
      <c r="P986" t="str">
        <f t="shared" si="90"/>
        <v>Correct</v>
      </c>
      <c r="Q986" t="str">
        <f t="shared" si="91"/>
        <v>February</v>
      </c>
      <c r="R986" s="3">
        <f t="shared" si="92"/>
        <v>2025</v>
      </c>
      <c r="S986" s="3" t="str">
        <f t="shared" si="93"/>
        <v>Q1</v>
      </c>
      <c r="T986" s="3" t="str">
        <f t="shared" si="94"/>
        <v>Desk</v>
      </c>
    </row>
    <row r="987" spans="1:20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95"/>
        <v>243.71</v>
      </c>
      <c r="P987" t="str">
        <f t="shared" si="90"/>
        <v>Correct</v>
      </c>
      <c r="Q987" t="str">
        <f t="shared" si="91"/>
        <v>July</v>
      </c>
      <c r="R987" s="3">
        <f t="shared" si="92"/>
        <v>2024</v>
      </c>
      <c r="S987" s="3" t="str">
        <f t="shared" si="93"/>
        <v>Q3</v>
      </c>
      <c r="T987" s="3" t="str">
        <f t="shared" si="94"/>
        <v>Desk</v>
      </c>
    </row>
    <row r="988" spans="1:20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95"/>
        <v>2579.84</v>
      </c>
      <c r="P988" t="str">
        <f t="shared" si="90"/>
        <v>Correct</v>
      </c>
      <c r="Q988" t="str">
        <f t="shared" si="91"/>
        <v>September</v>
      </c>
      <c r="R988" s="3">
        <f t="shared" si="92"/>
        <v>2024</v>
      </c>
      <c r="S988" s="3" t="str">
        <f t="shared" si="93"/>
        <v>Q3</v>
      </c>
      <c r="T988" s="3" t="str">
        <f t="shared" si="94"/>
        <v>Laptop</v>
      </c>
    </row>
    <row r="989" spans="1:20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95"/>
        <v>1418.65</v>
      </c>
      <c r="P989" t="str">
        <f t="shared" si="90"/>
        <v>Correct</v>
      </c>
      <c r="Q989" t="str">
        <f t="shared" si="91"/>
        <v>June</v>
      </c>
      <c r="R989" s="3">
        <f t="shared" si="92"/>
        <v>2025</v>
      </c>
      <c r="S989" s="3" t="str">
        <f t="shared" si="93"/>
        <v>Q2</v>
      </c>
      <c r="T989" s="3" t="str">
        <f t="shared" si="94"/>
        <v>Phone</v>
      </c>
    </row>
    <row r="990" spans="1:20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95"/>
        <v>1259.1199999999999</v>
      </c>
      <c r="P990" t="str">
        <f t="shared" si="90"/>
        <v>Correct</v>
      </c>
      <c r="Q990" t="str">
        <f t="shared" si="91"/>
        <v>February</v>
      </c>
      <c r="R990" s="3">
        <f t="shared" si="92"/>
        <v>2025</v>
      </c>
      <c r="S990" s="3" t="str">
        <f t="shared" si="93"/>
        <v>Q1</v>
      </c>
      <c r="T990" s="3" t="str">
        <f t="shared" si="94"/>
        <v>Desk</v>
      </c>
    </row>
    <row r="991" spans="1:20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95"/>
        <v>984.44</v>
      </c>
      <c r="P991" t="str">
        <f t="shared" si="90"/>
        <v>Correct</v>
      </c>
      <c r="Q991" t="str">
        <f t="shared" si="91"/>
        <v>March</v>
      </c>
      <c r="R991" s="3">
        <f t="shared" si="92"/>
        <v>2023</v>
      </c>
      <c r="S991" s="3" t="str">
        <f t="shared" si="93"/>
        <v>Q1</v>
      </c>
      <c r="T991" s="3" t="str">
        <f t="shared" si="94"/>
        <v>Laptop</v>
      </c>
    </row>
    <row r="992" spans="1:20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95"/>
        <v>836.52</v>
      </c>
      <c r="P992" t="str">
        <f t="shared" si="90"/>
        <v>Correct</v>
      </c>
      <c r="Q992" t="str">
        <f t="shared" si="91"/>
        <v>November</v>
      </c>
      <c r="R992" s="3">
        <f t="shared" si="92"/>
        <v>2023</v>
      </c>
      <c r="S992" s="3" t="str">
        <f t="shared" si="93"/>
        <v>Q4</v>
      </c>
      <c r="T992" s="3" t="str">
        <f t="shared" si="94"/>
        <v>Phone</v>
      </c>
    </row>
    <row r="993" spans="1:20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95"/>
        <v>635.90000000000009</v>
      </c>
      <c r="P993" t="str">
        <f t="shared" si="90"/>
        <v>Correct</v>
      </c>
      <c r="Q993" t="str">
        <f t="shared" si="91"/>
        <v>May</v>
      </c>
      <c r="R993" s="3">
        <f t="shared" si="92"/>
        <v>2024</v>
      </c>
      <c r="S993" s="3" t="str">
        <f t="shared" si="93"/>
        <v>Q2</v>
      </c>
      <c r="T993" s="3" t="str">
        <f t="shared" si="94"/>
        <v>Desk</v>
      </c>
    </row>
    <row r="994" spans="1:20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95"/>
        <v>1758.63</v>
      </c>
      <c r="P994" t="str">
        <f t="shared" si="90"/>
        <v>Correct</v>
      </c>
      <c r="Q994" t="str">
        <f t="shared" si="91"/>
        <v>August</v>
      </c>
      <c r="R994" s="3">
        <f t="shared" si="92"/>
        <v>2024</v>
      </c>
      <c r="S994" s="3" t="str">
        <f t="shared" si="93"/>
        <v>Q3</v>
      </c>
      <c r="T994" s="3" t="str">
        <f t="shared" si="94"/>
        <v>Printer</v>
      </c>
    </row>
    <row r="995" spans="1:20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95"/>
        <v>802.34999999999991</v>
      </c>
      <c r="P995" t="str">
        <f t="shared" si="90"/>
        <v>Correct</v>
      </c>
      <c r="Q995" t="str">
        <f t="shared" si="91"/>
        <v>April</v>
      </c>
      <c r="R995" s="3">
        <f t="shared" si="92"/>
        <v>2024</v>
      </c>
      <c r="S995" s="3" t="str">
        <f t="shared" si="93"/>
        <v>Q2</v>
      </c>
      <c r="T995" s="3" t="str">
        <f t="shared" si="94"/>
        <v>Monitor</v>
      </c>
    </row>
    <row r="996" spans="1:20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95"/>
        <v>2462.6</v>
      </c>
      <c r="P996" t="str">
        <f t="shared" si="90"/>
        <v>Correct</v>
      </c>
      <c r="Q996" t="str">
        <f t="shared" si="91"/>
        <v>June</v>
      </c>
      <c r="R996" s="3">
        <f t="shared" si="92"/>
        <v>2024</v>
      </c>
      <c r="S996" s="3" t="str">
        <f t="shared" si="93"/>
        <v>Q2</v>
      </c>
      <c r="T996" s="3" t="str">
        <f t="shared" si="94"/>
        <v>Tablet</v>
      </c>
    </row>
    <row r="997" spans="1:20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95"/>
        <v>226.58</v>
      </c>
      <c r="P997" t="str">
        <f t="shared" si="90"/>
        <v>Correct</v>
      </c>
      <c r="Q997" t="str">
        <f t="shared" si="91"/>
        <v>November</v>
      </c>
      <c r="R997" s="3">
        <f t="shared" si="92"/>
        <v>2023</v>
      </c>
      <c r="S997" s="3" t="str">
        <f t="shared" si="93"/>
        <v>Q4</v>
      </c>
      <c r="T997" s="3" t="str">
        <f t="shared" si="94"/>
        <v>Monitor</v>
      </c>
    </row>
    <row r="998" spans="1:20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95"/>
        <v>1895.44</v>
      </c>
      <c r="P998" t="str">
        <f t="shared" si="90"/>
        <v>Correct</v>
      </c>
      <c r="Q998" t="str">
        <f t="shared" si="91"/>
        <v>April</v>
      </c>
      <c r="R998" s="3">
        <f t="shared" si="92"/>
        <v>2024</v>
      </c>
      <c r="S998" s="3" t="str">
        <f t="shared" si="93"/>
        <v>Q2</v>
      </c>
      <c r="T998" s="3" t="str">
        <f t="shared" si="94"/>
        <v>Monitor</v>
      </c>
    </row>
    <row r="999" spans="1:20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95"/>
        <v>1334.25</v>
      </c>
      <c r="P999" t="str">
        <f t="shared" si="90"/>
        <v>Correct</v>
      </c>
      <c r="Q999" t="str">
        <f t="shared" si="91"/>
        <v>November</v>
      </c>
      <c r="R999" s="3">
        <f t="shared" si="92"/>
        <v>2023</v>
      </c>
      <c r="S999" s="3" t="str">
        <f t="shared" si="93"/>
        <v>Q4</v>
      </c>
      <c r="T999" s="3" t="str">
        <f t="shared" si="94"/>
        <v>Laptop</v>
      </c>
    </row>
    <row r="1000" spans="1:20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95"/>
        <v>367.34</v>
      </c>
      <c r="P1000" t="str">
        <f t="shared" si="90"/>
        <v>Correct</v>
      </c>
      <c r="Q1000" t="str">
        <f t="shared" si="91"/>
        <v>May</v>
      </c>
      <c r="R1000" s="3">
        <f t="shared" si="92"/>
        <v>2023</v>
      </c>
      <c r="S1000" s="3" t="str">
        <f t="shared" si="93"/>
        <v>Q2</v>
      </c>
      <c r="T1000" s="3" t="str">
        <f t="shared" si="94"/>
        <v>Phone</v>
      </c>
    </row>
    <row r="1001" spans="1:20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95"/>
        <v>483.38</v>
      </c>
      <c r="P1001" t="str">
        <f t="shared" si="90"/>
        <v>Correct</v>
      </c>
      <c r="Q1001" t="str">
        <f t="shared" si="91"/>
        <v>December</v>
      </c>
      <c r="R1001" s="3">
        <f t="shared" si="92"/>
        <v>2023</v>
      </c>
      <c r="S1001" s="3" t="str">
        <f t="shared" si="93"/>
        <v>Q4</v>
      </c>
      <c r="T1001" s="3" t="str">
        <f t="shared" si="94"/>
        <v>Printer</v>
      </c>
    </row>
    <row r="1002" spans="1:20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95"/>
        <v>1304.6500000000001</v>
      </c>
      <c r="P1002" t="str">
        <f t="shared" si="90"/>
        <v>Correct</v>
      </c>
      <c r="Q1002" t="str">
        <f t="shared" si="91"/>
        <v>June</v>
      </c>
      <c r="R1002" s="3">
        <f t="shared" si="92"/>
        <v>2023</v>
      </c>
      <c r="S1002" s="3" t="str">
        <f t="shared" si="93"/>
        <v>Q2</v>
      </c>
      <c r="T1002" s="3" t="str">
        <f t="shared" si="94"/>
        <v>Printer</v>
      </c>
    </row>
    <row r="1003" spans="1:20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95"/>
        <v>507.36</v>
      </c>
      <c r="P1003" t="str">
        <f t="shared" si="90"/>
        <v>Correct</v>
      </c>
      <c r="Q1003" t="str">
        <f t="shared" si="91"/>
        <v>December</v>
      </c>
      <c r="R1003" s="3">
        <f t="shared" si="92"/>
        <v>2023</v>
      </c>
      <c r="S1003" s="3" t="str">
        <f t="shared" si="93"/>
        <v>Q4</v>
      </c>
      <c r="T1003" s="3" t="str">
        <f t="shared" si="94"/>
        <v>Printer</v>
      </c>
    </row>
    <row r="1004" spans="1:20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95"/>
        <v>2799.52</v>
      </c>
      <c r="P1004" t="str">
        <f t="shared" si="90"/>
        <v>Correct</v>
      </c>
      <c r="Q1004" t="str">
        <f t="shared" si="91"/>
        <v>June</v>
      </c>
      <c r="R1004" s="3">
        <f t="shared" si="92"/>
        <v>2025</v>
      </c>
      <c r="S1004" s="3" t="str">
        <f t="shared" si="93"/>
        <v>Q2</v>
      </c>
      <c r="T1004" s="3" t="str">
        <f t="shared" si="94"/>
        <v>Tablet</v>
      </c>
    </row>
    <row r="1005" spans="1:20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95"/>
        <v>1599.8500000000001</v>
      </c>
      <c r="P1005" t="str">
        <f t="shared" si="90"/>
        <v>Correct</v>
      </c>
      <c r="Q1005" t="str">
        <f t="shared" si="91"/>
        <v>January</v>
      </c>
      <c r="R1005" s="3">
        <f t="shared" si="92"/>
        <v>2023</v>
      </c>
      <c r="S1005" s="3" t="str">
        <f t="shared" si="93"/>
        <v>Q1</v>
      </c>
      <c r="T1005" s="3" t="str">
        <f t="shared" si="94"/>
        <v>Printer</v>
      </c>
    </row>
    <row r="1006" spans="1:20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95"/>
        <v>987.64</v>
      </c>
      <c r="P1006" t="str">
        <f t="shared" si="90"/>
        <v>Correct</v>
      </c>
      <c r="Q1006" t="str">
        <f t="shared" si="91"/>
        <v>June</v>
      </c>
      <c r="R1006" s="3">
        <f t="shared" si="92"/>
        <v>2025</v>
      </c>
      <c r="S1006" s="3" t="str">
        <f t="shared" si="93"/>
        <v>Q2</v>
      </c>
      <c r="T1006" s="3" t="str">
        <f t="shared" si="94"/>
        <v>Chair</v>
      </c>
    </row>
    <row r="1007" spans="1:20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95"/>
        <v>1178.5500000000002</v>
      </c>
      <c r="P1007" t="str">
        <f t="shared" si="90"/>
        <v>Correct</v>
      </c>
      <c r="Q1007" t="str">
        <f t="shared" si="91"/>
        <v>March</v>
      </c>
      <c r="R1007" s="3">
        <f t="shared" si="92"/>
        <v>2023</v>
      </c>
      <c r="S1007" s="3" t="str">
        <f t="shared" si="93"/>
        <v>Q1</v>
      </c>
      <c r="T1007" s="3" t="str">
        <f t="shared" si="94"/>
        <v>Printer</v>
      </c>
    </row>
    <row r="1008" spans="1:20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95"/>
        <v>2104.9</v>
      </c>
      <c r="P1008" t="str">
        <f t="shared" si="90"/>
        <v>Correct</v>
      </c>
      <c r="Q1008" t="str">
        <f t="shared" si="91"/>
        <v>May</v>
      </c>
      <c r="R1008" s="3">
        <f t="shared" si="92"/>
        <v>2024</v>
      </c>
      <c r="S1008" s="3" t="str">
        <f t="shared" si="93"/>
        <v>Q2</v>
      </c>
      <c r="T1008" s="3" t="str">
        <f t="shared" si="94"/>
        <v>Tablet</v>
      </c>
    </row>
    <row r="1009" spans="1:20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95"/>
        <v>146.52000000000001</v>
      </c>
      <c r="P1009" t="str">
        <f t="shared" si="90"/>
        <v>Correct</v>
      </c>
      <c r="Q1009" t="str">
        <f t="shared" si="91"/>
        <v>March</v>
      </c>
      <c r="R1009" s="3">
        <f t="shared" si="92"/>
        <v>2024</v>
      </c>
      <c r="S1009" s="3" t="str">
        <f t="shared" si="93"/>
        <v>Q1</v>
      </c>
      <c r="T1009" s="3" t="str">
        <f t="shared" si="94"/>
        <v>Monitor</v>
      </c>
    </row>
    <row r="1010" spans="1:20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95"/>
        <v>1232.6399999999999</v>
      </c>
      <c r="P1010" t="str">
        <f t="shared" si="90"/>
        <v>Correct</v>
      </c>
      <c r="Q1010" t="str">
        <f t="shared" si="91"/>
        <v>January</v>
      </c>
      <c r="R1010" s="3">
        <f t="shared" si="92"/>
        <v>2023</v>
      </c>
      <c r="S1010" s="3" t="str">
        <f t="shared" si="93"/>
        <v>Q1</v>
      </c>
      <c r="T1010" s="3" t="str">
        <f t="shared" si="94"/>
        <v>Monitor</v>
      </c>
    </row>
    <row r="1011" spans="1:20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95"/>
        <v>352.92</v>
      </c>
      <c r="P1011" t="str">
        <f t="shared" si="90"/>
        <v>Correct</v>
      </c>
      <c r="Q1011" t="str">
        <f t="shared" si="91"/>
        <v>September</v>
      </c>
      <c r="R1011" s="3">
        <f t="shared" si="92"/>
        <v>2023</v>
      </c>
      <c r="S1011" s="3" t="str">
        <f t="shared" si="93"/>
        <v>Q3</v>
      </c>
      <c r="T1011" s="3" t="str">
        <f t="shared" si="94"/>
        <v>Tablet</v>
      </c>
    </row>
    <row r="1012" spans="1:20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95"/>
        <v>1978.71</v>
      </c>
      <c r="P1012" t="str">
        <f t="shared" si="90"/>
        <v>Correct</v>
      </c>
      <c r="Q1012" t="str">
        <f t="shared" si="91"/>
        <v>March</v>
      </c>
      <c r="R1012" s="3">
        <f t="shared" si="92"/>
        <v>2023</v>
      </c>
      <c r="S1012" s="3" t="str">
        <f t="shared" si="93"/>
        <v>Q1</v>
      </c>
      <c r="T1012" s="3" t="str">
        <f t="shared" si="94"/>
        <v>Monitor</v>
      </c>
    </row>
    <row r="1013" spans="1:20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95"/>
        <v>956.72</v>
      </c>
      <c r="P1013" t="str">
        <f t="shared" si="90"/>
        <v>Correct</v>
      </c>
      <c r="Q1013" t="str">
        <f t="shared" si="91"/>
        <v>December</v>
      </c>
      <c r="R1013" s="3">
        <f t="shared" si="92"/>
        <v>2024</v>
      </c>
      <c r="S1013" s="3" t="str">
        <f t="shared" si="93"/>
        <v>Q4</v>
      </c>
      <c r="T1013" s="3" t="str">
        <f t="shared" si="94"/>
        <v>Phone</v>
      </c>
    </row>
    <row r="1014" spans="1:20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95"/>
        <v>120.2</v>
      </c>
      <c r="P1014" t="str">
        <f t="shared" si="90"/>
        <v>Correct</v>
      </c>
      <c r="Q1014" t="str">
        <f t="shared" si="91"/>
        <v>December</v>
      </c>
      <c r="R1014" s="3">
        <f t="shared" si="92"/>
        <v>2024</v>
      </c>
      <c r="S1014" s="3" t="str">
        <f t="shared" si="93"/>
        <v>Q4</v>
      </c>
      <c r="T1014" s="3" t="str">
        <f t="shared" si="94"/>
        <v>Printer</v>
      </c>
    </row>
    <row r="1015" spans="1:20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95"/>
        <v>1202.24</v>
      </c>
      <c r="P1015" t="str">
        <f t="shared" si="90"/>
        <v>Correct</v>
      </c>
      <c r="Q1015" t="str">
        <f t="shared" si="91"/>
        <v>April</v>
      </c>
      <c r="R1015" s="3">
        <f t="shared" si="92"/>
        <v>2025</v>
      </c>
      <c r="S1015" s="3" t="str">
        <f t="shared" si="93"/>
        <v>Q2</v>
      </c>
      <c r="T1015" s="3" t="str">
        <f t="shared" si="94"/>
        <v>Laptop</v>
      </c>
    </row>
    <row r="1016" spans="1:20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95"/>
        <v>1132.25</v>
      </c>
      <c r="P1016" t="str">
        <f t="shared" si="90"/>
        <v>Correct</v>
      </c>
      <c r="Q1016" t="str">
        <f t="shared" si="91"/>
        <v>February</v>
      </c>
      <c r="R1016" s="3">
        <f t="shared" si="92"/>
        <v>2024</v>
      </c>
      <c r="S1016" s="3" t="str">
        <f t="shared" si="93"/>
        <v>Q1</v>
      </c>
      <c r="T1016" s="3" t="str">
        <f t="shared" si="94"/>
        <v>Tablet</v>
      </c>
    </row>
    <row r="1017" spans="1:20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95"/>
        <v>698.8</v>
      </c>
      <c r="P1017" t="str">
        <f t="shared" si="90"/>
        <v>Correct</v>
      </c>
      <c r="Q1017" t="str">
        <f t="shared" si="91"/>
        <v>January</v>
      </c>
      <c r="R1017" s="3">
        <f t="shared" si="92"/>
        <v>2024</v>
      </c>
      <c r="S1017" s="3" t="str">
        <f t="shared" si="93"/>
        <v>Q1</v>
      </c>
      <c r="T1017" s="3" t="str">
        <f t="shared" si="94"/>
        <v>Printer</v>
      </c>
    </row>
    <row r="1018" spans="1:20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95"/>
        <v>1343.8999999999999</v>
      </c>
      <c r="P1018" t="str">
        <f t="shared" si="90"/>
        <v>Correct</v>
      </c>
      <c r="Q1018" t="str">
        <f t="shared" si="91"/>
        <v>December</v>
      </c>
      <c r="R1018" s="3">
        <f t="shared" si="92"/>
        <v>2023</v>
      </c>
      <c r="S1018" s="3" t="str">
        <f t="shared" si="93"/>
        <v>Q4</v>
      </c>
      <c r="T1018" s="3" t="str">
        <f t="shared" si="94"/>
        <v>Tablet</v>
      </c>
    </row>
    <row r="1019" spans="1:20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95"/>
        <v>1361.7</v>
      </c>
      <c r="P1019" t="str">
        <f t="shared" si="90"/>
        <v>Correct</v>
      </c>
      <c r="Q1019" t="str">
        <f t="shared" si="91"/>
        <v>August</v>
      </c>
      <c r="R1019" s="3">
        <f t="shared" si="92"/>
        <v>2024</v>
      </c>
      <c r="S1019" s="3" t="str">
        <f t="shared" si="93"/>
        <v>Q3</v>
      </c>
      <c r="T1019" s="3" t="str">
        <f t="shared" si="94"/>
        <v>Chair</v>
      </c>
    </row>
    <row r="1020" spans="1:20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95"/>
        <v>547.43999999999994</v>
      </c>
      <c r="P1020" t="str">
        <f t="shared" si="90"/>
        <v>Correct</v>
      </c>
      <c r="Q1020" t="str">
        <f t="shared" si="91"/>
        <v>July</v>
      </c>
      <c r="R1020" s="3">
        <f t="shared" si="92"/>
        <v>2023</v>
      </c>
      <c r="S1020" s="3" t="str">
        <f t="shared" si="93"/>
        <v>Q3</v>
      </c>
      <c r="T1020" s="3" t="str">
        <f t="shared" si="94"/>
        <v>Laptop</v>
      </c>
    </row>
    <row r="1021" spans="1:20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95"/>
        <v>277.08999999999997</v>
      </c>
      <c r="P1021" t="str">
        <f t="shared" si="90"/>
        <v>Correct</v>
      </c>
      <c r="Q1021" t="str">
        <f t="shared" si="91"/>
        <v>April</v>
      </c>
      <c r="R1021" s="3">
        <f t="shared" si="92"/>
        <v>2024</v>
      </c>
      <c r="S1021" s="3" t="str">
        <f t="shared" si="93"/>
        <v>Q2</v>
      </c>
      <c r="T1021" s="3" t="str">
        <f t="shared" si="94"/>
        <v>Desk</v>
      </c>
    </row>
    <row r="1022" spans="1:20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95"/>
        <v>53</v>
      </c>
      <c r="P1022" t="str">
        <f t="shared" si="90"/>
        <v>Correct</v>
      </c>
      <c r="Q1022" t="str">
        <f t="shared" si="91"/>
        <v>April</v>
      </c>
      <c r="R1022" s="3">
        <f t="shared" si="92"/>
        <v>2024</v>
      </c>
      <c r="S1022" s="3" t="str">
        <f t="shared" si="93"/>
        <v>Q2</v>
      </c>
      <c r="T1022" s="3" t="str">
        <f t="shared" si="94"/>
        <v>Tablet</v>
      </c>
    </row>
    <row r="1023" spans="1:20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95"/>
        <v>945.81</v>
      </c>
      <c r="P1023" t="str">
        <f t="shared" si="90"/>
        <v>Correct</v>
      </c>
      <c r="Q1023" t="str">
        <f t="shared" si="91"/>
        <v>October</v>
      </c>
      <c r="R1023" s="3">
        <f t="shared" si="92"/>
        <v>2023</v>
      </c>
      <c r="S1023" s="3" t="str">
        <f t="shared" si="93"/>
        <v>Q4</v>
      </c>
      <c r="T1023" s="3" t="str">
        <f t="shared" si="94"/>
        <v>Phone</v>
      </c>
    </row>
    <row r="1024" spans="1:20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95"/>
        <v>1352.94</v>
      </c>
      <c r="P1024" t="str">
        <f t="shared" si="90"/>
        <v>Correct</v>
      </c>
      <c r="Q1024" t="str">
        <f t="shared" si="91"/>
        <v>February</v>
      </c>
      <c r="R1024" s="3">
        <f t="shared" si="92"/>
        <v>2025</v>
      </c>
      <c r="S1024" s="3" t="str">
        <f t="shared" si="93"/>
        <v>Q1</v>
      </c>
      <c r="T1024" s="3" t="str">
        <f t="shared" si="94"/>
        <v>Tablet</v>
      </c>
    </row>
    <row r="1025" spans="1:20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95"/>
        <v>1168.3499999999999</v>
      </c>
      <c r="P1025" t="str">
        <f t="shared" si="90"/>
        <v>Correct</v>
      </c>
      <c r="Q1025" t="str">
        <f t="shared" si="91"/>
        <v>September</v>
      </c>
      <c r="R1025" s="3">
        <f t="shared" si="92"/>
        <v>2024</v>
      </c>
      <c r="S1025" s="3" t="str">
        <f t="shared" si="93"/>
        <v>Q3</v>
      </c>
      <c r="T1025" s="3" t="str">
        <f t="shared" si="94"/>
        <v>Laptop</v>
      </c>
    </row>
    <row r="1026" spans="1:20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95"/>
        <v>1103.25</v>
      </c>
      <c r="P1026" t="str">
        <f t="shared" ref="P1026:P1089" si="96">IF(O1026=N1026,"Correct","Error")</f>
        <v>Correct</v>
      </c>
      <c r="Q1026" t="str">
        <f t="shared" ref="Q1026:Q1089" si="97">TEXT(B1026,"MMMM")</f>
        <v>January</v>
      </c>
      <c r="R1026" s="3">
        <f t="shared" ref="R1026:R1089" si="98">YEAR(B1026)</f>
        <v>2024</v>
      </c>
      <c r="S1026" s="3" t="str">
        <f t="shared" ref="S1026:S1089" si="99">"Q"&amp;ROUNDUP(MONTH(B1026)/3,0)</f>
        <v>Q1</v>
      </c>
      <c r="T1026" s="3" t="str">
        <f t="shared" ref="T1026:T1089" si="100">TRIM(D1026)</f>
        <v>Chair</v>
      </c>
    </row>
    <row r="1027" spans="1:20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01">E1027*F1027</f>
        <v>23.53</v>
      </c>
      <c r="P1027" t="str">
        <f t="shared" si="96"/>
        <v>Correct</v>
      </c>
      <c r="Q1027" t="str">
        <f t="shared" si="97"/>
        <v>May</v>
      </c>
      <c r="R1027" s="3">
        <f t="shared" si="98"/>
        <v>2025</v>
      </c>
      <c r="S1027" s="3" t="str">
        <f t="shared" si="99"/>
        <v>Q2</v>
      </c>
      <c r="T1027" s="3" t="str">
        <f t="shared" si="100"/>
        <v>Chair</v>
      </c>
    </row>
    <row r="1028" spans="1:20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01"/>
        <v>677.48</v>
      </c>
      <c r="P1028" t="str">
        <f t="shared" si="96"/>
        <v>Correct</v>
      </c>
      <c r="Q1028" t="str">
        <f t="shared" si="97"/>
        <v>May</v>
      </c>
      <c r="R1028" s="3">
        <f t="shared" si="98"/>
        <v>2023</v>
      </c>
      <c r="S1028" s="3" t="str">
        <f t="shared" si="99"/>
        <v>Q2</v>
      </c>
      <c r="T1028" s="3" t="str">
        <f t="shared" si="100"/>
        <v>Monitor</v>
      </c>
    </row>
    <row r="1029" spans="1:20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01"/>
        <v>2219.3200000000002</v>
      </c>
      <c r="P1029" t="str">
        <f t="shared" si="96"/>
        <v>Correct</v>
      </c>
      <c r="Q1029" t="str">
        <f t="shared" si="97"/>
        <v>May</v>
      </c>
      <c r="R1029" s="3">
        <f t="shared" si="98"/>
        <v>2024</v>
      </c>
      <c r="S1029" s="3" t="str">
        <f t="shared" si="99"/>
        <v>Q2</v>
      </c>
      <c r="T1029" s="3" t="str">
        <f t="shared" si="100"/>
        <v>Laptop</v>
      </c>
    </row>
    <row r="1030" spans="1:20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01"/>
        <v>1761.24</v>
      </c>
      <c r="P1030" t="str">
        <f t="shared" si="96"/>
        <v>Correct</v>
      </c>
      <c r="Q1030" t="str">
        <f t="shared" si="97"/>
        <v>February</v>
      </c>
      <c r="R1030" s="3">
        <f t="shared" si="98"/>
        <v>2023</v>
      </c>
      <c r="S1030" s="3" t="str">
        <f t="shared" si="99"/>
        <v>Q1</v>
      </c>
      <c r="T1030" s="3" t="str">
        <f t="shared" si="100"/>
        <v>Desk</v>
      </c>
    </row>
    <row r="1031" spans="1:20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01"/>
        <v>87.06</v>
      </c>
      <c r="P1031" t="str">
        <f t="shared" si="96"/>
        <v>Correct</v>
      </c>
      <c r="Q1031" t="str">
        <f t="shared" si="97"/>
        <v>March</v>
      </c>
      <c r="R1031" s="3">
        <f t="shared" si="98"/>
        <v>2025</v>
      </c>
      <c r="S1031" s="3" t="str">
        <f t="shared" si="99"/>
        <v>Q1</v>
      </c>
      <c r="T1031" s="3" t="str">
        <f t="shared" si="100"/>
        <v>Desk</v>
      </c>
    </row>
    <row r="1032" spans="1:20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01"/>
        <v>981.12</v>
      </c>
      <c r="P1032" t="str">
        <f t="shared" si="96"/>
        <v>Correct</v>
      </c>
      <c r="Q1032" t="str">
        <f t="shared" si="97"/>
        <v>October</v>
      </c>
      <c r="R1032" s="3">
        <f t="shared" si="98"/>
        <v>2023</v>
      </c>
      <c r="S1032" s="3" t="str">
        <f t="shared" si="99"/>
        <v>Q4</v>
      </c>
      <c r="T1032" s="3" t="str">
        <f t="shared" si="100"/>
        <v>Phone</v>
      </c>
    </row>
    <row r="1033" spans="1:20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01"/>
        <v>3322.55</v>
      </c>
      <c r="P1033" t="str">
        <f t="shared" si="96"/>
        <v>Correct</v>
      </c>
      <c r="Q1033" t="str">
        <f t="shared" si="97"/>
        <v>February</v>
      </c>
      <c r="R1033" s="3">
        <f t="shared" si="98"/>
        <v>2023</v>
      </c>
      <c r="S1033" s="3" t="str">
        <f t="shared" si="99"/>
        <v>Q1</v>
      </c>
      <c r="T1033" s="3" t="str">
        <f t="shared" si="100"/>
        <v>Phone</v>
      </c>
    </row>
    <row r="1034" spans="1:20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01"/>
        <v>618.67999999999995</v>
      </c>
      <c r="P1034" t="str">
        <f t="shared" si="96"/>
        <v>Correct</v>
      </c>
      <c r="Q1034" t="str">
        <f t="shared" si="97"/>
        <v>April</v>
      </c>
      <c r="R1034" s="3">
        <f t="shared" si="98"/>
        <v>2023</v>
      </c>
      <c r="S1034" s="3" t="str">
        <f t="shared" si="99"/>
        <v>Q2</v>
      </c>
      <c r="T1034" s="3" t="str">
        <f t="shared" si="100"/>
        <v>Chair</v>
      </c>
    </row>
    <row r="1035" spans="1:20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01"/>
        <v>370.85</v>
      </c>
      <c r="P1035" t="str">
        <f t="shared" si="96"/>
        <v>Correct</v>
      </c>
      <c r="Q1035" t="str">
        <f t="shared" si="97"/>
        <v>December</v>
      </c>
      <c r="R1035" s="3">
        <f t="shared" si="98"/>
        <v>2024</v>
      </c>
      <c r="S1035" s="3" t="str">
        <f t="shared" si="99"/>
        <v>Q4</v>
      </c>
      <c r="T1035" s="3" t="str">
        <f t="shared" si="100"/>
        <v>Monitor</v>
      </c>
    </row>
    <row r="1036" spans="1:20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01"/>
        <v>2071.92</v>
      </c>
      <c r="P1036" t="str">
        <f t="shared" si="96"/>
        <v>Correct</v>
      </c>
      <c r="Q1036" t="str">
        <f t="shared" si="97"/>
        <v>June</v>
      </c>
      <c r="R1036" s="3">
        <f t="shared" si="98"/>
        <v>2024</v>
      </c>
      <c r="S1036" s="3" t="str">
        <f t="shared" si="99"/>
        <v>Q2</v>
      </c>
      <c r="T1036" s="3" t="str">
        <f t="shared" si="100"/>
        <v>Printer</v>
      </c>
    </row>
    <row r="1037" spans="1:20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01"/>
        <v>2024.44</v>
      </c>
      <c r="P1037" t="str">
        <f t="shared" si="96"/>
        <v>Correct</v>
      </c>
      <c r="Q1037" t="str">
        <f t="shared" si="97"/>
        <v>November</v>
      </c>
      <c r="R1037" s="3">
        <f t="shared" si="98"/>
        <v>2023</v>
      </c>
      <c r="S1037" s="3" t="str">
        <f t="shared" si="99"/>
        <v>Q4</v>
      </c>
      <c r="T1037" s="3" t="str">
        <f t="shared" si="100"/>
        <v>Laptop</v>
      </c>
    </row>
    <row r="1038" spans="1:20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01"/>
        <v>1241.49</v>
      </c>
      <c r="P1038" t="str">
        <f t="shared" si="96"/>
        <v>Correct</v>
      </c>
      <c r="Q1038" t="str">
        <f t="shared" si="97"/>
        <v>May</v>
      </c>
      <c r="R1038" s="3">
        <f t="shared" si="98"/>
        <v>2024</v>
      </c>
      <c r="S1038" s="3" t="str">
        <f t="shared" si="99"/>
        <v>Q2</v>
      </c>
      <c r="T1038" s="3" t="str">
        <f t="shared" si="100"/>
        <v>Phone</v>
      </c>
    </row>
    <row r="1039" spans="1:20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01"/>
        <v>249.81</v>
      </c>
      <c r="P1039" t="str">
        <f t="shared" si="96"/>
        <v>Correct</v>
      </c>
      <c r="Q1039" t="str">
        <f t="shared" si="97"/>
        <v>December</v>
      </c>
      <c r="R1039" s="3">
        <f t="shared" si="98"/>
        <v>2023</v>
      </c>
      <c r="S1039" s="3" t="str">
        <f t="shared" si="99"/>
        <v>Q4</v>
      </c>
      <c r="T1039" s="3" t="str">
        <f t="shared" si="100"/>
        <v>Printer</v>
      </c>
    </row>
    <row r="1040" spans="1:20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01"/>
        <v>1087.5899999999999</v>
      </c>
      <c r="P1040" t="str">
        <f t="shared" si="96"/>
        <v>Correct</v>
      </c>
      <c r="Q1040" t="str">
        <f t="shared" si="97"/>
        <v>March</v>
      </c>
      <c r="R1040" s="3">
        <f t="shared" si="98"/>
        <v>2025</v>
      </c>
      <c r="S1040" s="3" t="str">
        <f t="shared" si="99"/>
        <v>Q1</v>
      </c>
      <c r="T1040" s="3" t="str">
        <f t="shared" si="100"/>
        <v>Tablet</v>
      </c>
    </row>
    <row r="1041" spans="1:20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01"/>
        <v>598.46</v>
      </c>
      <c r="P1041" t="str">
        <f t="shared" si="96"/>
        <v>Correct</v>
      </c>
      <c r="Q1041" t="str">
        <f t="shared" si="97"/>
        <v>June</v>
      </c>
      <c r="R1041" s="3">
        <f t="shared" si="98"/>
        <v>2025</v>
      </c>
      <c r="S1041" s="3" t="str">
        <f t="shared" si="99"/>
        <v>Q2</v>
      </c>
      <c r="T1041" s="3" t="str">
        <f t="shared" si="100"/>
        <v>Desk</v>
      </c>
    </row>
    <row r="1042" spans="1:20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01"/>
        <v>536.07000000000005</v>
      </c>
      <c r="P1042" t="str">
        <f t="shared" si="96"/>
        <v>Correct</v>
      </c>
      <c r="Q1042" t="str">
        <f t="shared" si="97"/>
        <v>November</v>
      </c>
      <c r="R1042" s="3">
        <f t="shared" si="98"/>
        <v>2023</v>
      </c>
      <c r="S1042" s="3" t="str">
        <f t="shared" si="99"/>
        <v>Q4</v>
      </c>
      <c r="T1042" s="3" t="str">
        <f t="shared" si="100"/>
        <v>Tablet</v>
      </c>
    </row>
    <row r="1043" spans="1:20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01"/>
        <v>2235.6</v>
      </c>
      <c r="P1043" t="str">
        <f t="shared" si="96"/>
        <v>Correct</v>
      </c>
      <c r="Q1043" t="str">
        <f t="shared" si="97"/>
        <v>February</v>
      </c>
      <c r="R1043" s="3">
        <f t="shared" si="98"/>
        <v>2023</v>
      </c>
      <c r="S1043" s="3" t="str">
        <f t="shared" si="99"/>
        <v>Q1</v>
      </c>
      <c r="T1043" s="3" t="str">
        <f t="shared" si="100"/>
        <v>Monitor</v>
      </c>
    </row>
    <row r="1044" spans="1:20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01"/>
        <v>819.5</v>
      </c>
      <c r="P1044" t="str">
        <f t="shared" si="96"/>
        <v>Correct</v>
      </c>
      <c r="Q1044" t="str">
        <f t="shared" si="97"/>
        <v>December</v>
      </c>
      <c r="R1044" s="3">
        <f t="shared" si="98"/>
        <v>2024</v>
      </c>
      <c r="S1044" s="3" t="str">
        <f t="shared" si="99"/>
        <v>Q4</v>
      </c>
      <c r="T1044" s="3" t="str">
        <f t="shared" si="100"/>
        <v>Tablet</v>
      </c>
    </row>
    <row r="1045" spans="1:20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01"/>
        <v>359.92</v>
      </c>
      <c r="P1045" t="str">
        <f t="shared" si="96"/>
        <v>Correct</v>
      </c>
      <c r="Q1045" t="str">
        <f t="shared" si="97"/>
        <v>January</v>
      </c>
      <c r="R1045" s="3">
        <f t="shared" si="98"/>
        <v>2025</v>
      </c>
      <c r="S1045" s="3" t="str">
        <f t="shared" si="99"/>
        <v>Q1</v>
      </c>
      <c r="T1045" s="3" t="str">
        <f t="shared" si="100"/>
        <v>Tablet</v>
      </c>
    </row>
    <row r="1046" spans="1:20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01"/>
        <v>38.49</v>
      </c>
      <c r="P1046" t="str">
        <f t="shared" si="96"/>
        <v>Correct</v>
      </c>
      <c r="Q1046" t="str">
        <f t="shared" si="97"/>
        <v>June</v>
      </c>
      <c r="R1046" s="3">
        <f t="shared" si="98"/>
        <v>2025</v>
      </c>
      <c r="S1046" s="3" t="str">
        <f t="shared" si="99"/>
        <v>Q2</v>
      </c>
      <c r="T1046" s="3" t="str">
        <f t="shared" si="100"/>
        <v>Printer</v>
      </c>
    </row>
    <row r="1047" spans="1:20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01"/>
        <v>1582</v>
      </c>
      <c r="P1047" t="str">
        <f t="shared" si="96"/>
        <v>Correct</v>
      </c>
      <c r="Q1047" t="str">
        <f t="shared" si="97"/>
        <v>September</v>
      </c>
      <c r="R1047" s="3">
        <f t="shared" si="98"/>
        <v>2024</v>
      </c>
      <c r="S1047" s="3" t="str">
        <f t="shared" si="99"/>
        <v>Q3</v>
      </c>
      <c r="T1047" s="3" t="str">
        <f t="shared" si="100"/>
        <v>Laptop</v>
      </c>
    </row>
    <row r="1048" spans="1:20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01"/>
        <v>1641.4499999999998</v>
      </c>
      <c r="P1048" t="str">
        <f t="shared" si="96"/>
        <v>Correct</v>
      </c>
      <c r="Q1048" t="str">
        <f t="shared" si="97"/>
        <v>October</v>
      </c>
      <c r="R1048" s="3">
        <f t="shared" si="98"/>
        <v>2024</v>
      </c>
      <c r="S1048" s="3" t="str">
        <f t="shared" si="99"/>
        <v>Q4</v>
      </c>
      <c r="T1048" s="3" t="str">
        <f t="shared" si="100"/>
        <v>Tablet</v>
      </c>
    </row>
    <row r="1049" spans="1:20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01"/>
        <v>2161.36</v>
      </c>
      <c r="P1049" t="str">
        <f t="shared" si="96"/>
        <v>Correct</v>
      </c>
      <c r="Q1049" t="str">
        <f t="shared" si="97"/>
        <v>June</v>
      </c>
      <c r="R1049" s="3">
        <f t="shared" si="98"/>
        <v>2023</v>
      </c>
      <c r="S1049" s="3" t="str">
        <f t="shared" si="99"/>
        <v>Q2</v>
      </c>
      <c r="T1049" s="3" t="str">
        <f t="shared" si="100"/>
        <v>Chair</v>
      </c>
    </row>
    <row r="1050" spans="1:20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01"/>
        <v>294.60000000000002</v>
      </c>
      <c r="P1050" t="str">
        <f t="shared" si="96"/>
        <v>Correct</v>
      </c>
      <c r="Q1050" t="str">
        <f t="shared" si="97"/>
        <v>September</v>
      </c>
      <c r="R1050" s="3">
        <f t="shared" si="98"/>
        <v>2024</v>
      </c>
      <c r="S1050" s="3" t="str">
        <f t="shared" si="99"/>
        <v>Q3</v>
      </c>
      <c r="T1050" s="3" t="str">
        <f t="shared" si="100"/>
        <v>Monitor</v>
      </c>
    </row>
    <row r="1051" spans="1:20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01"/>
        <v>1959.3000000000002</v>
      </c>
      <c r="P1051" t="str">
        <f t="shared" si="96"/>
        <v>Correct</v>
      </c>
      <c r="Q1051" t="str">
        <f t="shared" si="97"/>
        <v>July</v>
      </c>
      <c r="R1051" s="3">
        <f t="shared" si="98"/>
        <v>2024</v>
      </c>
      <c r="S1051" s="3" t="str">
        <f t="shared" si="99"/>
        <v>Q3</v>
      </c>
      <c r="T1051" s="3" t="str">
        <f t="shared" si="100"/>
        <v>Desk</v>
      </c>
    </row>
    <row r="1052" spans="1:20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01"/>
        <v>348.5</v>
      </c>
      <c r="P1052" t="str">
        <f t="shared" si="96"/>
        <v>Correct</v>
      </c>
      <c r="Q1052" t="str">
        <f t="shared" si="97"/>
        <v>August</v>
      </c>
      <c r="R1052" s="3">
        <f t="shared" si="98"/>
        <v>2023</v>
      </c>
      <c r="S1052" s="3" t="str">
        <f t="shared" si="99"/>
        <v>Q3</v>
      </c>
      <c r="T1052" s="3" t="str">
        <f t="shared" si="100"/>
        <v>Laptop</v>
      </c>
    </row>
    <row r="1053" spans="1:20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01"/>
        <v>132.15</v>
      </c>
      <c r="P1053" t="str">
        <f t="shared" si="96"/>
        <v>Correct</v>
      </c>
      <c r="Q1053" t="str">
        <f t="shared" si="97"/>
        <v>March</v>
      </c>
      <c r="R1053" s="3">
        <f t="shared" si="98"/>
        <v>2025</v>
      </c>
      <c r="S1053" s="3" t="str">
        <f t="shared" si="99"/>
        <v>Q1</v>
      </c>
      <c r="T1053" s="3" t="str">
        <f t="shared" si="100"/>
        <v>Monitor</v>
      </c>
    </row>
    <row r="1054" spans="1:20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01"/>
        <v>531.74</v>
      </c>
      <c r="P1054" t="str">
        <f t="shared" si="96"/>
        <v>Correct</v>
      </c>
      <c r="Q1054" t="str">
        <f t="shared" si="97"/>
        <v>September</v>
      </c>
      <c r="R1054" s="3">
        <f t="shared" si="98"/>
        <v>2023</v>
      </c>
      <c r="S1054" s="3" t="str">
        <f t="shared" si="99"/>
        <v>Q3</v>
      </c>
      <c r="T1054" s="3" t="str">
        <f t="shared" si="100"/>
        <v>Tablet</v>
      </c>
    </row>
    <row r="1055" spans="1:20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01"/>
        <v>993.24</v>
      </c>
      <c r="P1055" t="str">
        <f t="shared" si="96"/>
        <v>Correct</v>
      </c>
      <c r="Q1055" t="str">
        <f t="shared" si="97"/>
        <v>September</v>
      </c>
      <c r="R1055" s="3">
        <f t="shared" si="98"/>
        <v>2024</v>
      </c>
      <c r="S1055" s="3" t="str">
        <f t="shared" si="99"/>
        <v>Q3</v>
      </c>
      <c r="T1055" s="3" t="str">
        <f t="shared" si="100"/>
        <v>Phone</v>
      </c>
    </row>
    <row r="1056" spans="1:20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01"/>
        <v>660.66</v>
      </c>
      <c r="P1056" t="str">
        <f t="shared" si="96"/>
        <v>Correct</v>
      </c>
      <c r="Q1056" t="str">
        <f t="shared" si="97"/>
        <v>November</v>
      </c>
      <c r="R1056" s="3">
        <f t="shared" si="98"/>
        <v>2023</v>
      </c>
      <c r="S1056" s="3" t="str">
        <f t="shared" si="99"/>
        <v>Q4</v>
      </c>
      <c r="T1056" s="3" t="str">
        <f t="shared" si="100"/>
        <v>Printer</v>
      </c>
    </row>
    <row r="1057" spans="1:20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01"/>
        <v>1099.28</v>
      </c>
      <c r="P1057" t="str">
        <f t="shared" si="96"/>
        <v>Correct</v>
      </c>
      <c r="Q1057" t="str">
        <f t="shared" si="97"/>
        <v>October</v>
      </c>
      <c r="R1057" s="3">
        <f t="shared" si="98"/>
        <v>2023</v>
      </c>
      <c r="S1057" s="3" t="str">
        <f t="shared" si="99"/>
        <v>Q4</v>
      </c>
      <c r="T1057" s="3" t="str">
        <f t="shared" si="100"/>
        <v>Monitor</v>
      </c>
    </row>
    <row r="1058" spans="1:20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01"/>
        <v>972.7</v>
      </c>
      <c r="P1058" t="str">
        <f t="shared" si="96"/>
        <v>Correct</v>
      </c>
      <c r="Q1058" t="str">
        <f t="shared" si="97"/>
        <v>June</v>
      </c>
      <c r="R1058" s="3">
        <f t="shared" si="98"/>
        <v>2024</v>
      </c>
      <c r="S1058" s="3" t="str">
        <f t="shared" si="99"/>
        <v>Q2</v>
      </c>
      <c r="T1058" s="3" t="str">
        <f t="shared" si="100"/>
        <v>Phone</v>
      </c>
    </row>
    <row r="1059" spans="1:20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01"/>
        <v>1286.6399999999999</v>
      </c>
      <c r="P1059" t="str">
        <f t="shared" si="96"/>
        <v>Correct</v>
      </c>
      <c r="Q1059" t="str">
        <f t="shared" si="97"/>
        <v>September</v>
      </c>
      <c r="R1059" s="3">
        <f t="shared" si="98"/>
        <v>2024</v>
      </c>
      <c r="S1059" s="3" t="str">
        <f t="shared" si="99"/>
        <v>Q3</v>
      </c>
      <c r="T1059" s="3" t="str">
        <f t="shared" si="100"/>
        <v>Laptop</v>
      </c>
    </row>
    <row r="1060" spans="1:20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01"/>
        <v>824.28</v>
      </c>
      <c r="P1060" t="str">
        <f t="shared" si="96"/>
        <v>Correct</v>
      </c>
      <c r="Q1060" t="str">
        <f t="shared" si="97"/>
        <v>September</v>
      </c>
      <c r="R1060" s="3">
        <f t="shared" si="98"/>
        <v>2023</v>
      </c>
      <c r="S1060" s="3" t="str">
        <f t="shared" si="99"/>
        <v>Q3</v>
      </c>
      <c r="T1060" s="3" t="str">
        <f t="shared" si="100"/>
        <v>Desk</v>
      </c>
    </row>
    <row r="1061" spans="1:20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01"/>
        <v>265.64</v>
      </c>
      <c r="P1061" t="str">
        <f t="shared" si="96"/>
        <v>Correct</v>
      </c>
      <c r="Q1061" t="str">
        <f t="shared" si="97"/>
        <v>September</v>
      </c>
      <c r="R1061" s="3">
        <f t="shared" si="98"/>
        <v>2024</v>
      </c>
      <c r="S1061" s="3" t="str">
        <f t="shared" si="99"/>
        <v>Q3</v>
      </c>
      <c r="T1061" s="3" t="str">
        <f t="shared" si="100"/>
        <v>Desk</v>
      </c>
    </row>
    <row r="1062" spans="1:20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01"/>
        <v>546.86</v>
      </c>
      <c r="P1062" t="str">
        <f t="shared" si="96"/>
        <v>Correct</v>
      </c>
      <c r="Q1062" t="str">
        <f t="shared" si="97"/>
        <v>May</v>
      </c>
      <c r="R1062" s="3">
        <f t="shared" si="98"/>
        <v>2024</v>
      </c>
      <c r="S1062" s="3" t="str">
        <f t="shared" si="99"/>
        <v>Q2</v>
      </c>
      <c r="T1062" s="3" t="str">
        <f t="shared" si="100"/>
        <v>Tablet</v>
      </c>
    </row>
    <row r="1063" spans="1:20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01"/>
        <v>658.5</v>
      </c>
      <c r="P1063" t="str">
        <f t="shared" si="96"/>
        <v>Correct</v>
      </c>
      <c r="Q1063" t="str">
        <f t="shared" si="97"/>
        <v>January</v>
      </c>
      <c r="R1063" s="3">
        <f t="shared" si="98"/>
        <v>2025</v>
      </c>
      <c r="S1063" s="3" t="str">
        <f t="shared" si="99"/>
        <v>Q1</v>
      </c>
      <c r="T1063" s="3" t="str">
        <f t="shared" si="100"/>
        <v>Laptop</v>
      </c>
    </row>
    <row r="1064" spans="1:20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01"/>
        <v>427.59999999999997</v>
      </c>
      <c r="P1064" t="str">
        <f t="shared" si="96"/>
        <v>Correct</v>
      </c>
      <c r="Q1064" t="str">
        <f t="shared" si="97"/>
        <v>August</v>
      </c>
      <c r="R1064" s="3">
        <f t="shared" si="98"/>
        <v>2023</v>
      </c>
      <c r="S1064" s="3" t="str">
        <f t="shared" si="99"/>
        <v>Q3</v>
      </c>
      <c r="T1064" s="3" t="str">
        <f t="shared" si="100"/>
        <v>Chair</v>
      </c>
    </row>
    <row r="1065" spans="1:20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01"/>
        <v>641.36</v>
      </c>
      <c r="P1065" t="str">
        <f t="shared" si="96"/>
        <v>Correct</v>
      </c>
      <c r="Q1065" t="str">
        <f t="shared" si="97"/>
        <v>June</v>
      </c>
      <c r="R1065" s="3">
        <f t="shared" si="98"/>
        <v>2024</v>
      </c>
      <c r="S1065" s="3" t="str">
        <f t="shared" si="99"/>
        <v>Q2</v>
      </c>
      <c r="T1065" s="3" t="str">
        <f t="shared" si="100"/>
        <v>Desk</v>
      </c>
    </row>
    <row r="1066" spans="1:20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01"/>
        <v>795.24</v>
      </c>
      <c r="P1066" t="str">
        <f t="shared" si="96"/>
        <v>Correct</v>
      </c>
      <c r="Q1066" t="str">
        <f t="shared" si="97"/>
        <v>February</v>
      </c>
      <c r="R1066" s="3">
        <f t="shared" si="98"/>
        <v>2025</v>
      </c>
      <c r="S1066" s="3" t="str">
        <f t="shared" si="99"/>
        <v>Q1</v>
      </c>
      <c r="T1066" s="3" t="str">
        <f t="shared" si="100"/>
        <v>Laptop</v>
      </c>
    </row>
    <row r="1067" spans="1:20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01"/>
        <v>3334</v>
      </c>
      <c r="P1067" t="str">
        <f t="shared" si="96"/>
        <v>Correct</v>
      </c>
      <c r="Q1067" t="str">
        <f t="shared" si="97"/>
        <v>October</v>
      </c>
      <c r="R1067" s="3">
        <f t="shared" si="98"/>
        <v>2023</v>
      </c>
      <c r="S1067" s="3" t="str">
        <f t="shared" si="99"/>
        <v>Q4</v>
      </c>
      <c r="T1067" s="3" t="str">
        <f t="shared" si="100"/>
        <v>Printer</v>
      </c>
    </row>
    <row r="1068" spans="1:20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01"/>
        <v>355.09</v>
      </c>
      <c r="P1068" t="str">
        <f t="shared" si="96"/>
        <v>Correct</v>
      </c>
      <c r="Q1068" t="str">
        <f t="shared" si="97"/>
        <v>December</v>
      </c>
      <c r="R1068" s="3">
        <f t="shared" si="98"/>
        <v>2023</v>
      </c>
      <c r="S1068" s="3" t="str">
        <f t="shared" si="99"/>
        <v>Q4</v>
      </c>
      <c r="T1068" s="3" t="str">
        <f t="shared" si="100"/>
        <v>Desk</v>
      </c>
    </row>
    <row r="1069" spans="1:20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01"/>
        <v>632.4</v>
      </c>
      <c r="P1069" t="str">
        <f t="shared" si="96"/>
        <v>Correct</v>
      </c>
      <c r="Q1069" t="str">
        <f t="shared" si="97"/>
        <v>June</v>
      </c>
      <c r="R1069" s="3">
        <f t="shared" si="98"/>
        <v>2023</v>
      </c>
      <c r="S1069" s="3" t="str">
        <f t="shared" si="99"/>
        <v>Q2</v>
      </c>
      <c r="T1069" s="3" t="str">
        <f t="shared" si="100"/>
        <v>Phone</v>
      </c>
    </row>
    <row r="1070" spans="1:20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01"/>
        <v>133.38999999999999</v>
      </c>
      <c r="P1070" t="str">
        <f t="shared" si="96"/>
        <v>Correct</v>
      </c>
      <c r="Q1070" t="str">
        <f t="shared" si="97"/>
        <v>August</v>
      </c>
      <c r="R1070" s="3">
        <f t="shared" si="98"/>
        <v>2024</v>
      </c>
      <c r="S1070" s="3" t="str">
        <f t="shared" si="99"/>
        <v>Q3</v>
      </c>
      <c r="T1070" s="3" t="str">
        <f t="shared" si="100"/>
        <v>Laptop</v>
      </c>
    </row>
    <row r="1071" spans="1:20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01"/>
        <v>454.23</v>
      </c>
      <c r="P1071" t="str">
        <f t="shared" si="96"/>
        <v>Correct</v>
      </c>
      <c r="Q1071" t="str">
        <f t="shared" si="97"/>
        <v>February</v>
      </c>
      <c r="R1071" s="3">
        <f t="shared" si="98"/>
        <v>2023</v>
      </c>
      <c r="S1071" s="3" t="str">
        <f t="shared" si="99"/>
        <v>Q1</v>
      </c>
      <c r="T1071" s="3" t="str">
        <f t="shared" si="100"/>
        <v>Monitor</v>
      </c>
    </row>
    <row r="1072" spans="1:20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01"/>
        <v>1965.16</v>
      </c>
      <c r="P1072" t="str">
        <f t="shared" si="96"/>
        <v>Correct</v>
      </c>
      <c r="Q1072" t="str">
        <f t="shared" si="97"/>
        <v>September</v>
      </c>
      <c r="R1072" s="3">
        <f t="shared" si="98"/>
        <v>2024</v>
      </c>
      <c r="S1072" s="3" t="str">
        <f t="shared" si="99"/>
        <v>Q3</v>
      </c>
      <c r="T1072" s="3" t="str">
        <f t="shared" si="100"/>
        <v>Desk</v>
      </c>
    </row>
    <row r="1073" spans="1:20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01"/>
        <v>510.28</v>
      </c>
      <c r="P1073" t="str">
        <f t="shared" si="96"/>
        <v>Correct</v>
      </c>
      <c r="Q1073" t="str">
        <f t="shared" si="97"/>
        <v>June</v>
      </c>
      <c r="R1073" s="3">
        <f t="shared" si="98"/>
        <v>2025</v>
      </c>
      <c r="S1073" s="3" t="str">
        <f t="shared" si="99"/>
        <v>Q2</v>
      </c>
      <c r="T1073" s="3" t="str">
        <f t="shared" si="100"/>
        <v>Phone</v>
      </c>
    </row>
    <row r="1074" spans="1:20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01"/>
        <v>392.61</v>
      </c>
      <c r="P1074" t="str">
        <f t="shared" si="96"/>
        <v>Correct</v>
      </c>
      <c r="Q1074" t="str">
        <f t="shared" si="97"/>
        <v>February</v>
      </c>
      <c r="R1074" s="3">
        <f t="shared" si="98"/>
        <v>2023</v>
      </c>
      <c r="S1074" s="3" t="str">
        <f t="shared" si="99"/>
        <v>Q1</v>
      </c>
      <c r="T1074" s="3" t="str">
        <f t="shared" si="100"/>
        <v>Monitor</v>
      </c>
    </row>
    <row r="1075" spans="1:20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01"/>
        <v>1448.24</v>
      </c>
      <c r="P1075" t="str">
        <f t="shared" si="96"/>
        <v>Correct</v>
      </c>
      <c r="Q1075" t="str">
        <f t="shared" si="97"/>
        <v>October</v>
      </c>
      <c r="R1075" s="3">
        <f t="shared" si="98"/>
        <v>2024</v>
      </c>
      <c r="S1075" s="3" t="str">
        <f t="shared" si="99"/>
        <v>Q4</v>
      </c>
      <c r="T1075" s="3" t="str">
        <f t="shared" si="100"/>
        <v>Tablet</v>
      </c>
    </row>
    <row r="1076" spans="1:20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01"/>
        <v>222.73</v>
      </c>
      <c r="P1076" t="str">
        <f t="shared" si="96"/>
        <v>Correct</v>
      </c>
      <c r="Q1076" t="str">
        <f t="shared" si="97"/>
        <v>May</v>
      </c>
      <c r="R1076" s="3">
        <f t="shared" si="98"/>
        <v>2024</v>
      </c>
      <c r="S1076" s="3" t="str">
        <f t="shared" si="99"/>
        <v>Q2</v>
      </c>
      <c r="T1076" s="3" t="str">
        <f t="shared" si="100"/>
        <v>Phone</v>
      </c>
    </row>
    <row r="1077" spans="1:20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01"/>
        <v>1105.26</v>
      </c>
      <c r="P1077" t="str">
        <f t="shared" si="96"/>
        <v>Correct</v>
      </c>
      <c r="Q1077" t="str">
        <f t="shared" si="97"/>
        <v>August</v>
      </c>
      <c r="R1077" s="3">
        <f t="shared" si="98"/>
        <v>2024</v>
      </c>
      <c r="S1077" s="3" t="str">
        <f t="shared" si="99"/>
        <v>Q3</v>
      </c>
      <c r="T1077" s="3" t="str">
        <f t="shared" si="100"/>
        <v>Monitor</v>
      </c>
    </row>
    <row r="1078" spans="1:20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01"/>
        <v>2746.44</v>
      </c>
      <c r="P1078" t="str">
        <f t="shared" si="96"/>
        <v>Correct</v>
      </c>
      <c r="Q1078" t="str">
        <f t="shared" si="97"/>
        <v>May</v>
      </c>
      <c r="R1078" s="3">
        <f t="shared" si="98"/>
        <v>2023</v>
      </c>
      <c r="S1078" s="3" t="str">
        <f t="shared" si="99"/>
        <v>Q2</v>
      </c>
      <c r="T1078" s="3" t="str">
        <f t="shared" si="100"/>
        <v>Laptop</v>
      </c>
    </row>
    <row r="1079" spans="1:20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01"/>
        <v>915.48</v>
      </c>
      <c r="P1079" t="str">
        <f t="shared" si="96"/>
        <v>Correct</v>
      </c>
      <c r="Q1079" t="str">
        <f t="shared" si="97"/>
        <v>March</v>
      </c>
      <c r="R1079" s="3">
        <f t="shared" si="98"/>
        <v>2025</v>
      </c>
      <c r="S1079" s="3" t="str">
        <f t="shared" si="99"/>
        <v>Q1</v>
      </c>
      <c r="T1079" s="3" t="str">
        <f t="shared" si="100"/>
        <v>Printer</v>
      </c>
    </row>
    <row r="1080" spans="1:20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01"/>
        <v>41.09</v>
      </c>
      <c r="P1080" t="str">
        <f t="shared" si="96"/>
        <v>Correct</v>
      </c>
      <c r="Q1080" t="str">
        <f t="shared" si="97"/>
        <v>March</v>
      </c>
      <c r="R1080" s="3">
        <f t="shared" si="98"/>
        <v>2023</v>
      </c>
      <c r="S1080" s="3" t="str">
        <f t="shared" si="99"/>
        <v>Q1</v>
      </c>
      <c r="T1080" s="3" t="str">
        <f t="shared" si="100"/>
        <v>Desk</v>
      </c>
    </row>
    <row r="1081" spans="1:20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01"/>
        <v>3170</v>
      </c>
      <c r="P1081" t="str">
        <f t="shared" si="96"/>
        <v>Correct</v>
      </c>
      <c r="Q1081" t="str">
        <f t="shared" si="97"/>
        <v>June</v>
      </c>
      <c r="R1081" s="3">
        <f t="shared" si="98"/>
        <v>2024</v>
      </c>
      <c r="S1081" s="3" t="str">
        <f t="shared" si="99"/>
        <v>Q2</v>
      </c>
      <c r="T1081" s="3" t="str">
        <f t="shared" si="100"/>
        <v>Phone</v>
      </c>
    </row>
    <row r="1082" spans="1:20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01"/>
        <v>2323.6999999999998</v>
      </c>
      <c r="P1082" t="str">
        <f t="shared" si="96"/>
        <v>Correct</v>
      </c>
      <c r="Q1082" t="str">
        <f t="shared" si="97"/>
        <v>January</v>
      </c>
      <c r="R1082" s="3">
        <f t="shared" si="98"/>
        <v>2023</v>
      </c>
      <c r="S1082" s="3" t="str">
        <f t="shared" si="99"/>
        <v>Q1</v>
      </c>
      <c r="T1082" s="3" t="str">
        <f t="shared" si="100"/>
        <v>Laptop</v>
      </c>
    </row>
    <row r="1083" spans="1:20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01"/>
        <v>1702.4</v>
      </c>
      <c r="P1083" t="str">
        <f t="shared" si="96"/>
        <v>Correct</v>
      </c>
      <c r="Q1083" t="str">
        <f t="shared" si="97"/>
        <v>April</v>
      </c>
      <c r="R1083" s="3">
        <f t="shared" si="98"/>
        <v>2023</v>
      </c>
      <c r="S1083" s="3" t="str">
        <f t="shared" si="99"/>
        <v>Q2</v>
      </c>
      <c r="T1083" s="3" t="str">
        <f t="shared" si="100"/>
        <v>Monitor</v>
      </c>
    </row>
    <row r="1084" spans="1:20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01"/>
        <v>1719.66</v>
      </c>
      <c r="P1084" t="str">
        <f t="shared" si="96"/>
        <v>Correct</v>
      </c>
      <c r="Q1084" t="str">
        <f t="shared" si="97"/>
        <v>October</v>
      </c>
      <c r="R1084" s="3">
        <f t="shared" si="98"/>
        <v>2023</v>
      </c>
      <c r="S1084" s="3" t="str">
        <f t="shared" si="99"/>
        <v>Q4</v>
      </c>
      <c r="T1084" s="3" t="str">
        <f t="shared" si="100"/>
        <v>Chair</v>
      </c>
    </row>
    <row r="1085" spans="1:20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01"/>
        <v>123.28</v>
      </c>
      <c r="P1085" t="str">
        <f t="shared" si="96"/>
        <v>Correct</v>
      </c>
      <c r="Q1085" t="str">
        <f t="shared" si="97"/>
        <v>July</v>
      </c>
      <c r="R1085" s="3">
        <f t="shared" si="98"/>
        <v>2024</v>
      </c>
      <c r="S1085" s="3" t="str">
        <f t="shared" si="99"/>
        <v>Q3</v>
      </c>
      <c r="T1085" s="3" t="str">
        <f t="shared" si="100"/>
        <v>Chair</v>
      </c>
    </row>
    <row r="1086" spans="1:20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01"/>
        <v>70.819999999999993</v>
      </c>
      <c r="P1086" t="str">
        <f t="shared" si="96"/>
        <v>Correct</v>
      </c>
      <c r="Q1086" t="str">
        <f t="shared" si="97"/>
        <v>January</v>
      </c>
      <c r="R1086" s="3">
        <f t="shared" si="98"/>
        <v>2023</v>
      </c>
      <c r="S1086" s="3" t="str">
        <f t="shared" si="99"/>
        <v>Q1</v>
      </c>
      <c r="T1086" s="3" t="str">
        <f t="shared" si="100"/>
        <v>Phone</v>
      </c>
    </row>
    <row r="1087" spans="1:20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01"/>
        <v>1293.3800000000001</v>
      </c>
      <c r="P1087" t="str">
        <f t="shared" si="96"/>
        <v>Correct</v>
      </c>
      <c r="Q1087" t="str">
        <f t="shared" si="97"/>
        <v>May</v>
      </c>
      <c r="R1087" s="3">
        <f t="shared" si="98"/>
        <v>2023</v>
      </c>
      <c r="S1087" s="3" t="str">
        <f t="shared" si="99"/>
        <v>Q2</v>
      </c>
      <c r="T1087" s="3" t="str">
        <f t="shared" si="100"/>
        <v>Printer</v>
      </c>
    </row>
    <row r="1088" spans="1:20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01"/>
        <v>1026.8399999999999</v>
      </c>
      <c r="P1088" t="str">
        <f t="shared" si="96"/>
        <v>Correct</v>
      </c>
      <c r="Q1088" t="str">
        <f t="shared" si="97"/>
        <v>December</v>
      </c>
      <c r="R1088" s="3">
        <f t="shared" si="98"/>
        <v>2023</v>
      </c>
      <c r="S1088" s="3" t="str">
        <f t="shared" si="99"/>
        <v>Q4</v>
      </c>
      <c r="T1088" s="3" t="str">
        <f t="shared" si="100"/>
        <v>Tablet</v>
      </c>
    </row>
    <row r="1089" spans="1:20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01"/>
        <v>2772.28</v>
      </c>
      <c r="P1089" t="str">
        <f t="shared" si="96"/>
        <v>Correct</v>
      </c>
      <c r="Q1089" t="str">
        <f t="shared" si="97"/>
        <v>March</v>
      </c>
      <c r="R1089" s="3">
        <f t="shared" si="98"/>
        <v>2025</v>
      </c>
      <c r="S1089" s="3" t="str">
        <f t="shared" si="99"/>
        <v>Q1</v>
      </c>
      <c r="T1089" s="3" t="str">
        <f t="shared" si="100"/>
        <v>Laptop</v>
      </c>
    </row>
    <row r="1090" spans="1:20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01"/>
        <v>1474.29</v>
      </c>
      <c r="P1090" t="str">
        <f t="shared" ref="P1090:P1153" si="102">IF(O1090=N1090,"Correct","Error")</f>
        <v>Correct</v>
      </c>
      <c r="Q1090" t="str">
        <f t="shared" ref="Q1090:Q1153" si="103">TEXT(B1090,"MMMM")</f>
        <v>November</v>
      </c>
      <c r="R1090" s="3">
        <f t="shared" ref="R1090:R1153" si="104">YEAR(B1090)</f>
        <v>2023</v>
      </c>
      <c r="S1090" s="3" t="str">
        <f t="shared" ref="S1090:S1153" si="105">"Q"&amp;ROUNDUP(MONTH(B1090)/3,0)</f>
        <v>Q4</v>
      </c>
      <c r="T1090" s="3" t="str">
        <f t="shared" ref="T1090:T1153" si="106">TRIM(D1090)</f>
        <v>Desk</v>
      </c>
    </row>
    <row r="1091" spans="1:20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07">E1091*F1091</f>
        <v>1199.48</v>
      </c>
      <c r="P1091" t="str">
        <f t="shared" si="102"/>
        <v>Correct</v>
      </c>
      <c r="Q1091" t="str">
        <f t="shared" si="103"/>
        <v>March</v>
      </c>
      <c r="R1091" s="3">
        <f t="shared" si="104"/>
        <v>2025</v>
      </c>
      <c r="S1091" s="3" t="str">
        <f t="shared" si="105"/>
        <v>Q1</v>
      </c>
      <c r="T1091" s="3" t="str">
        <f t="shared" si="106"/>
        <v>Tablet</v>
      </c>
    </row>
    <row r="1092" spans="1:20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07"/>
        <v>1300.5</v>
      </c>
      <c r="P1092" t="str">
        <f t="shared" si="102"/>
        <v>Correct</v>
      </c>
      <c r="Q1092" t="str">
        <f t="shared" si="103"/>
        <v>February</v>
      </c>
      <c r="R1092" s="3">
        <f t="shared" si="104"/>
        <v>2023</v>
      </c>
      <c r="S1092" s="3" t="str">
        <f t="shared" si="105"/>
        <v>Q1</v>
      </c>
      <c r="T1092" s="3" t="str">
        <f t="shared" si="106"/>
        <v>Monitor</v>
      </c>
    </row>
    <row r="1093" spans="1:20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07"/>
        <v>628.43999999999994</v>
      </c>
      <c r="P1093" t="str">
        <f t="shared" si="102"/>
        <v>Correct</v>
      </c>
      <c r="Q1093" t="str">
        <f t="shared" si="103"/>
        <v>October</v>
      </c>
      <c r="R1093" s="3">
        <f t="shared" si="104"/>
        <v>2024</v>
      </c>
      <c r="S1093" s="3" t="str">
        <f t="shared" si="105"/>
        <v>Q4</v>
      </c>
      <c r="T1093" s="3" t="str">
        <f t="shared" si="106"/>
        <v>Laptop</v>
      </c>
    </row>
    <row r="1094" spans="1:20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07"/>
        <v>1046</v>
      </c>
      <c r="P1094" t="str">
        <f t="shared" si="102"/>
        <v>Correct</v>
      </c>
      <c r="Q1094" t="str">
        <f t="shared" si="103"/>
        <v>August</v>
      </c>
      <c r="R1094" s="3">
        <f t="shared" si="104"/>
        <v>2023</v>
      </c>
      <c r="S1094" s="3" t="str">
        <f t="shared" si="105"/>
        <v>Q3</v>
      </c>
      <c r="T1094" s="3" t="str">
        <f t="shared" si="106"/>
        <v>Laptop</v>
      </c>
    </row>
    <row r="1095" spans="1:20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07"/>
        <v>789.44</v>
      </c>
      <c r="P1095" t="str">
        <f t="shared" si="102"/>
        <v>Correct</v>
      </c>
      <c r="Q1095" t="str">
        <f t="shared" si="103"/>
        <v>June</v>
      </c>
      <c r="R1095" s="3">
        <f t="shared" si="104"/>
        <v>2023</v>
      </c>
      <c r="S1095" s="3" t="str">
        <f t="shared" si="105"/>
        <v>Q2</v>
      </c>
      <c r="T1095" s="3" t="str">
        <f t="shared" si="106"/>
        <v>Phone</v>
      </c>
    </row>
    <row r="1096" spans="1:20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07"/>
        <v>2595.64</v>
      </c>
      <c r="P1096" t="str">
        <f t="shared" si="102"/>
        <v>Correct</v>
      </c>
      <c r="Q1096" t="str">
        <f t="shared" si="103"/>
        <v>June</v>
      </c>
      <c r="R1096" s="3">
        <f t="shared" si="104"/>
        <v>2023</v>
      </c>
      <c r="S1096" s="3" t="str">
        <f t="shared" si="105"/>
        <v>Q2</v>
      </c>
      <c r="T1096" s="3" t="str">
        <f t="shared" si="106"/>
        <v>Printer</v>
      </c>
    </row>
    <row r="1097" spans="1:20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07"/>
        <v>883.08</v>
      </c>
      <c r="P1097" t="str">
        <f t="shared" si="102"/>
        <v>Correct</v>
      </c>
      <c r="Q1097" t="str">
        <f t="shared" si="103"/>
        <v>April</v>
      </c>
      <c r="R1097" s="3">
        <f t="shared" si="104"/>
        <v>2024</v>
      </c>
      <c r="S1097" s="3" t="str">
        <f t="shared" si="105"/>
        <v>Q2</v>
      </c>
      <c r="T1097" s="3" t="str">
        <f t="shared" si="106"/>
        <v>Phone</v>
      </c>
    </row>
    <row r="1098" spans="1:20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07"/>
        <v>929.84</v>
      </c>
      <c r="P1098" t="str">
        <f t="shared" si="102"/>
        <v>Correct</v>
      </c>
      <c r="Q1098" t="str">
        <f t="shared" si="103"/>
        <v>May</v>
      </c>
      <c r="R1098" s="3">
        <f t="shared" si="104"/>
        <v>2025</v>
      </c>
      <c r="S1098" s="3" t="str">
        <f t="shared" si="105"/>
        <v>Q2</v>
      </c>
      <c r="T1098" s="3" t="str">
        <f t="shared" si="106"/>
        <v>Tablet</v>
      </c>
    </row>
    <row r="1099" spans="1:20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07"/>
        <v>2532.25</v>
      </c>
      <c r="P1099" t="str">
        <f t="shared" si="102"/>
        <v>Correct</v>
      </c>
      <c r="Q1099" t="str">
        <f t="shared" si="103"/>
        <v>December</v>
      </c>
      <c r="R1099" s="3">
        <f t="shared" si="104"/>
        <v>2024</v>
      </c>
      <c r="S1099" s="3" t="str">
        <f t="shared" si="105"/>
        <v>Q4</v>
      </c>
      <c r="T1099" s="3" t="str">
        <f t="shared" si="106"/>
        <v>Monitor</v>
      </c>
    </row>
    <row r="1100" spans="1:20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07"/>
        <v>1023.44</v>
      </c>
      <c r="P1100" t="str">
        <f t="shared" si="102"/>
        <v>Correct</v>
      </c>
      <c r="Q1100" t="str">
        <f t="shared" si="103"/>
        <v>June</v>
      </c>
      <c r="R1100" s="3">
        <f t="shared" si="104"/>
        <v>2023</v>
      </c>
      <c r="S1100" s="3" t="str">
        <f t="shared" si="105"/>
        <v>Q2</v>
      </c>
      <c r="T1100" s="3" t="str">
        <f t="shared" si="106"/>
        <v>Monitor</v>
      </c>
    </row>
    <row r="1101" spans="1:20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07"/>
        <v>250.46</v>
      </c>
      <c r="P1101" t="str">
        <f t="shared" si="102"/>
        <v>Correct</v>
      </c>
      <c r="Q1101" t="str">
        <f t="shared" si="103"/>
        <v>September</v>
      </c>
      <c r="R1101" s="3">
        <f t="shared" si="104"/>
        <v>2024</v>
      </c>
      <c r="S1101" s="3" t="str">
        <f t="shared" si="105"/>
        <v>Q3</v>
      </c>
      <c r="T1101" s="3" t="str">
        <f t="shared" si="106"/>
        <v>Laptop</v>
      </c>
    </row>
    <row r="1102" spans="1:20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07"/>
        <v>190.55</v>
      </c>
      <c r="P1102" t="str">
        <f t="shared" si="102"/>
        <v>Correct</v>
      </c>
      <c r="Q1102" t="str">
        <f t="shared" si="103"/>
        <v>August</v>
      </c>
      <c r="R1102" s="3">
        <f t="shared" si="104"/>
        <v>2023</v>
      </c>
      <c r="S1102" s="3" t="str">
        <f t="shared" si="105"/>
        <v>Q3</v>
      </c>
      <c r="T1102" s="3" t="str">
        <f t="shared" si="106"/>
        <v>Laptop</v>
      </c>
    </row>
    <row r="1103" spans="1:20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07"/>
        <v>485.90999999999997</v>
      </c>
      <c r="P1103" t="str">
        <f t="shared" si="102"/>
        <v>Correct</v>
      </c>
      <c r="Q1103" t="str">
        <f t="shared" si="103"/>
        <v>June</v>
      </c>
      <c r="R1103" s="3">
        <f t="shared" si="104"/>
        <v>2025</v>
      </c>
      <c r="S1103" s="3" t="str">
        <f t="shared" si="105"/>
        <v>Q2</v>
      </c>
      <c r="T1103" s="3" t="str">
        <f t="shared" si="106"/>
        <v>Monitor</v>
      </c>
    </row>
    <row r="1104" spans="1:20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07"/>
        <v>1388.68</v>
      </c>
      <c r="P1104" t="str">
        <f t="shared" si="102"/>
        <v>Correct</v>
      </c>
      <c r="Q1104" t="str">
        <f t="shared" si="103"/>
        <v>June</v>
      </c>
      <c r="R1104" s="3">
        <f t="shared" si="104"/>
        <v>2024</v>
      </c>
      <c r="S1104" s="3" t="str">
        <f t="shared" si="105"/>
        <v>Q2</v>
      </c>
      <c r="T1104" s="3" t="str">
        <f t="shared" si="106"/>
        <v>Chair</v>
      </c>
    </row>
    <row r="1105" spans="1:20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07"/>
        <v>1105.28</v>
      </c>
      <c r="P1105" t="str">
        <f t="shared" si="102"/>
        <v>Correct</v>
      </c>
      <c r="Q1105" t="str">
        <f t="shared" si="103"/>
        <v>April</v>
      </c>
      <c r="R1105" s="3">
        <f t="shared" si="104"/>
        <v>2023</v>
      </c>
      <c r="S1105" s="3" t="str">
        <f t="shared" si="105"/>
        <v>Q2</v>
      </c>
      <c r="T1105" s="3" t="str">
        <f t="shared" si="106"/>
        <v>Laptop</v>
      </c>
    </row>
    <row r="1106" spans="1:20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07"/>
        <v>1259.04</v>
      </c>
      <c r="P1106" t="str">
        <f t="shared" si="102"/>
        <v>Correct</v>
      </c>
      <c r="Q1106" t="str">
        <f t="shared" si="103"/>
        <v>July</v>
      </c>
      <c r="R1106" s="3">
        <f t="shared" si="104"/>
        <v>2024</v>
      </c>
      <c r="S1106" s="3" t="str">
        <f t="shared" si="105"/>
        <v>Q3</v>
      </c>
      <c r="T1106" s="3" t="str">
        <f t="shared" si="106"/>
        <v>Tablet</v>
      </c>
    </row>
    <row r="1107" spans="1:20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4283</v>
      </c>
      <c r="M1107" t="s">
        <v>4282</v>
      </c>
      <c r="N1107">
        <v>1427.07</v>
      </c>
      <c r="O1107">
        <f t="shared" si="107"/>
        <v>1427.07</v>
      </c>
      <c r="P1107" t="str">
        <f t="shared" si="102"/>
        <v>Correct</v>
      </c>
      <c r="Q1107" t="str">
        <f t="shared" si="103"/>
        <v>January</v>
      </c>
      <c r="R1107" s="3">
        <f t="shared" si="104"/>
        <v>2024</v>
      </c>
      <c r="S1107" s="3" t="str">
        <f t="shared" si="105"/>
        <v>Q1</v>
      </c>
      <c r="T1107" s="3" t="str">
        <f t="shared" si="106"/>
        <v>Tablet</v>
      </c>
    </row>
    <row r="1108" spans="1:20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07"/>
        <v>372.8</v>
      </c>
      <c r="P1108" t="str">
        <f t="shared" si="102"/>
        <v>Correct</v>
      </c>
      <c r="Q1108" t="str">
        <f t="shared" si="103"/>
        <v>March</v>
      </c>
      <c r="R1108" s="3">
        <f t="shared" si="104"/>
        <v>2023</v>
      </c>
      <c r="S1108" s="3" t="str">
        <f t="shared" si="105"/>
        <v>Q1</v>
      </c>
      <c r="T1108" s="3" t="str">
        <f t="shared" si="106"/>
        <v>Chair</v>
      </c>
    </row>
    <row r="1109" spans="1:20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07"/>
        <v>126.42</v>
      </c>
      <c r="P1109" t="str">
        <f t="shared" si="102"/>
        <v>Correct</v>
      </c>
      <c r="Q1109" t="str">
        <f t="shared" si="103"/>
        <v>June</v>
      </c>
      <c r="R1109" s="3">
        <f t="shared" si="104"/>
        <v>2025</v>
      </c>
      <c r="S1109" s="3" t="str">
        <f t="shared" si="105"/>
        <v>Q2</v>
      </c>
      <c r="T1109" s="3" t="str">
        <f t="shared" si="106"/>
        <v>Tablet</v>
      </c>
    </row>
    <row r="1110" spans="1:20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07"/>
        <v>634.94000000000005</v>
      </c>
      <c r="P1110" t="str">
        <f t="shared" si="102"/>
        <v>Correct</v>
      </c>
      <c r="Q1110" t="str">
        <f t="shared" si="103"/>
        <v>March</v>
      </c>
      <c r="R1110" s="3">
        <f t="shared" si="104"/>
        <v>2023</v>
      </c>
      <c r="S1110" s="3" t="str">
        <f t="shared" si="105"/>
        <v>Q1</v>
      </c>
      <c r="T1110" s="3" t="str">
        <f t="shared" si="106"/>
        <v>Laptop</v>
      </c>
    </row>
    <row r="1111" spans="1:20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07"/>
        <v>309.88</v>
      </c>
      <c r="P1111" t="str">
        <f t="shared" si="102"/>
        <v>Correct</v>
      </c>
      <c r="Q1111" t="str">
        <f t="shared" si="103"/>
        <v>April</v>
      </c>
      <c r="R1111" s="3">
        <f t="shared" si="104"/>
        <v>2024</v>
      </c>
      <c r="S1111" s="3" t="str">
        <f t="shared" si="105"/>
        <v>Q2</v>
      </c>
      <c r="T1111" s="3" t="str">
        <f t="shared" si="106"/>
        <v>Printer</v>
      </c>
    </row>
    <row r="1112" spans="1:20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07"/>
        <v>252.93</v>
      </c>
      <c r="P1112" t="str">
        <f t="shared" si="102"/>
        <v>Correct</v>
      </c>
      <c r="Q1112" t="str">
        <f t="shared" si="103"/>
        <v>February</v>
      </c>
      <c r="R1112" s="3">
        <f t="shared" si="104"/>
        <v>2024</v>
      </c>
      <c r="S1112" s="3" t="str">
        <f t="shared" si="105"/>
        <v>Q1</v>
      </c>
      <c r="T1112" s="3" t="str">
        <f t="shared" si="106"/>
        <v>Chair</v>
      </c>
    </row>
    <row r="1113" spans="1:20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07"/>
        <v>937.8</v>
      </c>
      <c r="P1113" t="str">
        <f t="shared" si="102"/>
        <v>Correct</v>
      </c>
      <c r="Q1113" t="str">
        <f t="shared" si="103"/>
        <v>May</v>
      </c>
      <c r="R1113" s="3">
        <f t="shared" si="104"/>
        <v>2023</v>
      </c>
      <c r="S1113" s="3" t="str">
        <f t="shared" si="105"/>
        <v>Q2</v>
      </c>
      <c r="T1113" s="3" t="str">
        <f t="shared" si="106"/>
        <v>Monitor</v>
      </c>
    </row>
    <row r="1114" spans="1:20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07"/>
        <v>356.81</v>
      </c>
      <c r="P1114" t="str">
        <f t="shared" si="102"/>
        <v>Correct</v>
      </c>
      <c r="Q1114" t="str">
        <f t="shared" si="103"/>
        <v>October</v>
      </c>
      <c r="R1114" s="3">
        <f t="shared" si="104"/>
        <v>2023</v>
      </c>
      <c r="S1114" s="3" t="str">
        <f t="shared" si="105"/>
        <v>Q4</v>
      </c>
      <c r="T1114" s="3" t="str">
        <f t="shared" si="106"/>
        <v>Desk</v>
      </c>
    </row>
    <row r="1115" spans="1:20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07"/>
        <v>839.96</v>
      </c>
      <c r="P1115" t="str">
        <f t="shared" si="102"/>
        <v>Correct</v>
      </c>
      <c r="Q1115" t="str">
        <f t="shared" si="103"/>
        <v>March</v>
      </c>
      <c r="R1115" s="3">
        <f t="shared" si="104"/>
        <v>2023</v>
      </c>
      <c r="S1115" s="3" t="str">
        <f t="shared" si="105"/>
        <v>Q1</v>
      </c>
      <c r="T1115" s="3" t="str">
        <f t="shared" si="106"/>
        <v>Desk</v>
      </c>
    </row>
    <row r="1116" spans="1:20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07"/>
        <v>1979.6399999999999</v>
      </c>
      <c r="P1116" t="str">
        <f t="shared" si="102"/>
        <v>Correct</v>
      </c>
      <c r="Q1116" t="str">
        <f t="shared" si="103"/>
        <v>March</v>
      </c>
      <c r="R1116" s="3">
        <f t="shared" si="104"/>
        <v>2023</v>
      </c>
      <c r="S1116" s="3" t="str">
        <f t="shared" si="105"/>
        <v>Q1</v>
      </c>
      <c r="T1116" s="3" t="str">
        <f t="shared" si="106"/>
        <v>Tablet</v>
      </c>
    </row>
    <row r="1117" spans="1:20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07"/>
        <v>672.64</v>
      </c>
      <c r="P1117" t="str">
        <f t="shared" si="102"/>
        <v>Correct</v>
      </c>
      <c r="Q1117" t="str">
        <f t="shared" si="103"/>
        <v>June</v>
      </c>
      <c r="R1117" s="3">
        <f t="shared" si="104"/>
        <v>2025</v>
      </c>
      <c r="S1117" s="3" t="str">
        <f t="shared" si="105"/>
        <v>Q2</v>
      </c>
      <c r="T1117" s="3" t="str">
        <f t="shared" si="106"/>
        <v>Laptop</v>
      </c>
    </row>
    <row r="1118" spans="1:20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07"/>
        <v>1062.98</v>
      </c>
      <c r="P1118" t="str">
        <f t="shared" si="102"/>
        <v>Correct</v>
      </c>
      <c r="Q1118" t="str">
        <f t="shared" si="103"/>
        <v>October</v>
      </c>
      <c r="R1118" s="3">
        <f t="shared" si="104"/>
        <v>2023</v>
      </c>
      <c r="S1118" s="3" t="str">
        <f t="shared" si="105"/>
        <v>Q4</v>
      </c>
      <c r="T1118" s="3" t="str">
        <f t="shared" si="106"/>
        <v>Printer</v>
      </c>
    </row>
    <row r="1119" spans="1:20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07"/>
        <v>1765.3200000000002</v>
      </c>
      <c r="P1119" t="str">
        <f t="shared" si="102"/>
        <v>Correct</v>
      </c>
      <c r="Q1119" t="str">
        <f t="shared" si="103"/>
        <v>May</v>
      </c>
      <c r="R1119" s="3">
        <f t="shared" si="104"/>
        <v>2024</v>
      </c>
      <c r="S1119" s="3" t="str">
        <f t="shared" si="105"/>
        <v>Q2</v>
      </c>
      <c r="T1119" s="3" t="str">
        <f t="shared" si="106"/>
        <v>Chair</v>
      </c>
    </row>
    <row r="1120" spans="1:20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07"/>
        <v>754.43999999999994</v>
      </c>
      <c r="P1120" t="str">
        <f t="shared" si="102"/>
        <v>Correct</v>
      </c>
      <c r="Q1120" t="str">
        <f t="shared" si="103"/>
        <v>May</v>
      </c>
      <c r="R1120" s="3">
        <f t="shared" si="104"/>
        <v>2024</v>
      </c>
      <c r="S1120" s="3" t="str">
        <f t="shared" si="105"/>
        <v>Q2</v>
      </c>
      <c r="T1120" s="3" t="str">
        <f t="shared" si="106"/>
        <v>Phone</v>
      </c>
    </row>
    <row r="1121" spans="1:20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07"/>
        <v>684.65</v>
      </c>
      <c r="P1121" t="str">
        <f t="shared" si="102"/>
        <v>Correct</v>
      </c>
      <c r="Q1121" t="str">
        <f t="shared" si="103"/>
        <v>November</v>
      </c>
      <c r="R1121" s="3">
        <f t="shared" si="104"/>
        <v>2024</v>
      </c>
      <c r="S1121" s="3" t="str">
        <f t="shared" si="105"/>
        <v>Q4</v>
      </c>
      <c r="T1121" s="3" t="str">
        <f t="shared" si="106"/>
        <v>Laptop</v>
      </c>
    </row>
    <row r="1122" spans="1:20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07"/>
        <v>195.86</v>
      </c>
      <c r="P1122" t="str">
        <f t="shared" si="102"/>
        <v>Correct</v>
      </c>
      <c r="Q1122" t="str">
        <f t="shared" si="103"/>
        <v>May</v>
      </c>
      <c r="R1122" s="3">
        <f t="shared" si="104"/>
        <v>2025</v>
      </c>
      <c r="S1122" s="3" t="str">
        <f t="shared" si="105"/>
        <v>Q2</v>
      </c>
      <c r="T1122" s="3" t="str">
        <f t="shared" si="106"/>
        <v>Tablet</v>
      </c>
    </row>
    <row r="1123" spans="1:20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07"/>
        <v>151.02000000000001</v>
      </c>
      <c r="P1123" t="str">
        <f t="shared" si="102"/>
        <v>Correct</v>
      </c>
      <c r="Q1123" t="str">
        <f t="shared" si="103"/>
        <v>May</v>
      </c>
      <c r="R1123" s="3">
        <f t="shared" si="104"/>
        <v>2023</v>
      </c>
      <c r="S1123" s="3" t="str">
        <f t="shared" si="105"/>
        <v>Q2</v>
      </c>
      <c r="T1123" s="3" t="str">
        <f t="shared" si="106"/>
        <v>Phone</v>
      </c>
    </row>
    <row r="1124" spans="1:20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07"/>
        <v>3390.9500000000003</v>
      </c>
      <c r="P1124" t="str">
        <f t="shared" si="102"/>
        <v>Correct</v>
      </c>
      <c r="Q1124" t="str">
        <f t="shared" si="103"/>
        <v>June</v>
      </c>
      <c r="R1124" s="3">
        <f t="shared" si="104"/>
        <v>2023</v>
      </c>
      <c r="S1124" s="3" t="str">
        <f t="shared" si="105"/>
        <v>Q2</v>
      </c>
      <c r="T1124" s="3" t="str">
        <f t="shared" si="106"/>
        <v>Monitor</v>
      </c>
    </row>
    <row r="1125" spans="1:20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4283</v>
      </c>
      <c r="M1125" t="s">
        <v>4279</v>
      </c>
      <c r="N1125">
        <v>1662.75</v>
      </c>
      <c r="O1125">
        <f t="shared" si="107"/>
        <v>1662.75</v>
      </c>
      <c r="P1125" t="str">
        <f t="shared" si="102"/>
        <v>Correct</v>
      </c>
      <c r="Q1125" t="str">
        <f t="shared" si="103"/>
        <v>April</v>
      </c>
      <c r="R1125" s="3">
        <f t="shared" si="104"/>
        <v>2023</v>
      </c>
      <c r="S1125" s="3" t="str">
        <f t="shared" si="105"/>
        <v>Q2</v>
      </c>
      <c r="T1125" s="3" t="str">
        <f t="shared" si="106"/>
        <v>Tablet</v>
      </c>
    </row>
    <row r="1126" spans="1:20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07"/>
        <v>2307.48</v>
      </c>
      <c r="P1126" t="str">
        <f t="shared" si="102"/>
        <v>Correct</v>
      </c>
      <c r="Q1126" t="str">
        <f t="shared" si="103"/>
        <v>May</v>
      </c>
      <c r="R1126" s="3">
        <f t="shared" si="104"/>
        <v>2023</v>
      </c>
      <c r="S1126" s="3" t="str">
        <f t="shared" si="105"/>
        <v>Q2</v>
      </c>
      <c r="T1126" s="3" t="str">
        <f t="shared" si="106"/>
        <v>Chair</v>
      </c>
    </row>
    <row r="1127" spans="1:20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07"/>
        <v>1633.44</v>
      </c>
      <c r="P1127" t="str">
        <f t="shared" si="102"/>
        <v>Correct</v>
      </c>
      <c r="Q1127" t="str">
        <f t="shared" si="103"/>
        <v>October</v>
      </c>
      <c r="R1127" s="3">
        <f t="shared" si="104"/>
        <v>2023</v>
      </c>
      <c r="S1127" s="3" t="str">
        <f t="shared" si="105"/>
        <v>Q4</v>
      </c>
      <c r="T1127" s="3" t="str">
        <f t="shared" si="106"/>
        <v>Desk</v>
      </c>
    </row>
    <row r="1128" spans="1:20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07"/>
        <v>950.55000000000007</v>
      </c>
      <c r="P1128" t="str">
        <f t="shared" si="102"/>
        <v>Correct</v>
      </c>
      <c r="Q1128" t="str">
        <f t="shared" si="103"/>
        <v>July</v>
      </c>
      <c r="R1128" s="3">
        <f t="shared" si="104"/>
        <v>2024</v>
      </c>
      <c r="S1128" s="3" t="str">
        <f t="shared" si="105"/>
        <v>Q3</v>
      </c>
      <c r="T1128" s="3" t="str">
        <f t="shared" si="106"/>
        <v>Phone</v>
      </c>
    </row>
    <row r="1129" spans="1:20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07"/>
        <v>1808.25</v>
      </c>
      <c r="P1129" t="str">
        <f t="shared" si="102"/>
        <v>Correct</v>
      </c>
      <c r="Q1129" t="str">
        <f t="shared" si="103"/>
        <v>March</v>
      </c>
      <c r="R1129" s="3">
        <f t="shared" si="104"/>
        <v>2025</v>
      </c>
      <c r="S1129" s="3" t="str">
        <f t="shared" si="105"/>
        <v>Q1</v>
      </c>
      <c r="T1129" s="3" t="str">
        <f t="shared" si="106"/>
        <v>Printer</v>
      </c>
    </row>
    <row r="1130" spans="1:20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07"/>
        <v>1940.37</v>
      </c>
      <c r="P1130" t="str">
        <f t="shared" si="102"/>
        <v>Correct</v>
      </c>
      <c r="Q1130" t="str">
        <f t="shared" si="103"/>
        <v>August</v>
      </c>
      <c r="R1130" s="3">
        <f t="shared" si="104"/>
        <v>2023</v>
      </c>
      <c r="S1130" s="3" t="str">
        <f t="shared" si="105"/>
        <v>Q3</v>
      </c>
      <c r="T1130" s="3" t="str">
        <f t="shared" si="106"/>
        <v>Monitor</v>
      </c>
    </row>
    <row r="1131" spans="1:20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07"/>
        <v>1674.84</v>
      </c>
      <c r="P1131" t="str">
        <f t="shared" si="102"/>
        <v>Correct</v>
      </c>
      <c r="Q1131" t="str">
        <f t="shared" si="103"/>
        <v>June</v>
      </c>
      <c r="R1131" s="3">
        <f t="shared" si="104"/>
        <v>2023</v>
      </c>
      <c r="S1131" s="3" t="str">
        <f t="shared" si="105"/>
        <v>Q2</v>
      </c>
      <c r="T1131" s="3" t="str">
        <f t="shared" si="106"/>
        <v>Chair</v>
      </c>
    </row>
    <row r="1132" spans="1:20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07"/>
        <v>646.9</v>
      </c>
      <c r="P1132" t="str">
        <f t="shared" si="102"/>
        <v>Correct</v>
      </c>
      <c r="Q1132" t="str">
        <f t="shared" si="103"/>
        <v>February</v>
      </c>
      <c r="R1132" s="3">
        <f t="shared" si="104"/>
        <v>2025</v>
      </c>
      <c r="S1132" s="3" t="str">
        <f t="shared" si="105"/>
        <v>Q1</v>
      </c>
      <c r="T1132" s="3" t="str">
        <f t="shared" si="106"/>
        <v>Laptop</v>
      </c>
    </row>
    <row r="1133" spans="1:20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07"/>
        <v>694.5</v>
      </c>
      <c r="P1133" t="str">
        <f t="shared" si="102"/>
        <v>Correct</v>
      </c>
      <c r="Q1133" t="str">
        <f t="shared" si="103"/>
        <v>July</v>
      </c>
      <c r="R1133" s="3">
        <f t="shared" si="104"/>
        <v>2024</v>
      </c>
      <c r="S1133" s="3" t="str">
        <f t="shared" si="105"/>
        <v>Q3</v>
      </c>
      <c r="T1133" s="3" t="str">
        <f t="shared" si="106"/>
        <v>Phone</v>
      </c>
    </row>
    <row r="1134" spans="1:20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07"/>
        <v>674.64</v>
      </c>
      <c r="P1134" t="str">
        <f t="shared" si="102"/>
        <v>Correct</v>
      </c>
      <c r="Q1134" t="str">
        <f t="shared" si="103"/>
        <v>December</v>
      </c>
      <c r="R1134" s="3">
        <f t="shared" si="104"/>
        <v>2024</v>
      </c>
      <c r="S1134" s="3" t="str">
        <f t="shared" si="105"/>
        <v>Q4</v>
      </c>
      <c r="T1134" s="3" t="str">
        <f t="shared" si="106"/>
        <v>Chair</v>
      </c>
    </row>
    <row r="1135" spans="1:20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07"/>
        <v>935.82</v>
      </c>
      <c r="P1135" t="str">
        <f t="shared" si="102"/>
        <v>Correct</v>
      </c>
      <c r="Q1135" t="str">
        <f t="shared" si="103"/>
        <v>April</v>
      </c>
      <c r="R1135" s="3">
        <f t="shared" si="104"/>
        <v>2024</v>
      </c>
      <c r="S1135" s="3" t="str">
        <f t="shared" si="105"/>
        <v>Q2</v>
      </c>
      <c r="T1135" s="3" t="str">
        <f t="shared" si="106"/>
        <v>Printer</v>
      </c>
    </row>
    <row r="1136" spans="1:20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07"/>
        <v>153.12</v>
      </c>
      <c r="P1136" t="str">
        <f t="shared" si="102"/>
        <v>Correct</v>
      </c>
      <c r="Q1136" t="str">
        <f t="shared" si="103"/>
        <v>June</v>
      </c>
      <c r="R1136" s="3">
        <f t="shared" si="104"/>
        <v>2024</v>
      </c>
      <c r="S1136" s="3" t="str">
        <f t="shared" si="105"/>
        <v>Q2</v>
      </c>
      <c r="T1136" s="3" t="str">
        <f t="shared" si="106"/>
        <v>Desk</v>
      </c>
    </row>
    <row r="1137" spans="1:20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07"/>
        <v>146.82</v>
      </c>
      <c r="P1137" t="str">
        <f t="shared" si="102"/>
        <v>Correct</v>
      </c>
      <c r="Q1137" t="str">
        <f t="shared" si="103"/>
        <v>December</v>
      </c>
      <c r="R1137" s="3">
        <f t="shared" si="104"/>
        <v>2023</v>
      </c>
      <c r="S1137" s="3" t="str">
        <f t="shared" si="105"/>
        <v>Q4</v>
      </c>
      <c r="T1137" s="3" t="str">
        <f t="shared" si="106"/>
        <v>Printer</v>
      </c>
    </row>
    <row r="1138" spans="1:20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07"/>
        <v>2004.9900000000002</v>
      </c>
      <c r="P1138" t="str">
        <f t="shared" si="102"/>
        <v>Correct</v>
      </c>
      <c r="Q1138" t="str">
        <f t="shared" si="103"/>
        <v>September</v>
      </c>
      <c r="R1138" s="3">
        <f t="shared" si="104"/>
        <v>2023</v>
      </c>
      <c r="S1138" s="3" t="str">
        <f t="shared" si="105"/>
        <v>Q3</v>
      </c>
      <c r="T1138" s="3" t="str">
        <f t="shared" si="106"/>
        <v>Tablet</v>
      </c>
    </row>
    <row r="1139" spans="1:20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07"/>
        <v>1640.84</v>
      </c>
      <c r="P1139" t="str">
        <f t="shared" si="102"/>
        <v>Correct</v>
      </c>
      <c r="Q1139" t="str">
        <f t="shared" si="103"/>
        <v>July</v>
      </c>
      <c r="R1139" s="3">
        <f t="shared" si="104"/>
        <v>2024</v>
      </c>
      <c r="S1139" s="3" t="str">
        <f t="shared" si="105"/>
        <v>Q3</v>
      </c>
      <c r="T1139" s="3" t="str">
        <f t="shared" si="106"/>
        <v>Printer</v>
      </c>
    </row>
    <row r="1140" spans="1:20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07"/>
        <v>1177.6400000000001</v>
      </c>
      <c r="P1140" t="str">
        <f t="shared" si="102"/>
        <v>Correct</v>
      </c>
      <c r="Q1140" t="str">
        <f t="shared" si="103"/>
        <v>December</v>
      </c>
      <c r="R1140" s="3">
        <f t="shared" si="104"/>
        <v>2023</v>
      </c>
      <c r="S1140" s="3" t="str">
        <f t="shared" si="105"/>
        <v>Q4</v>
      </c>
      <c r="T1140" s="3" t="str">
        <f t="shared" si="106"/>
        <v>Desk</v>
      </c>
    </row>
    <row r="1141" spans="1:20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07"/>
        <v>1505.46</v>
      </c>
      <c r="P1141" t="str">
        <f t="shared" si="102"/>
        <v>Correct</v>
      </c>
      <c r="Q1141" t="str">
        <f t="shared" si="103"/>
        <v>March</v>
      </c>
      <c r="R1141" s="3">
        <f t="shared" si="104"/>
        <v>2025</v>
      </c>
      <c r="S1141" s="3" t="str">
        <f t="shared" si="105"/>
        <v>Q1</v>
      </c>
      <c r="T1141" s="3" t="str">
        <f t="shared" si="106"/>
        <v>Chair</v>
      </c>
    </row>
    <row r="1142" spans="1:20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07"/>
        <v>1105.6600000000001</v>
      </c>
      <c r="P1142" t="str">
        <f t="shared" si="102"/>
        <v>Correct</v>
      </c>
      <c r="Q1142" t="str">
        <f t="shared" si="103"/>
        <v>June</v>
      </c>
      <c r="R1142" s="3">
        <f t="shared" si="104"/>
        <v>2024</v>
      </c>
      <c r="S1142" s="3" t="str">
        <f t="shared" si="105"/>
        <v>Q2</v>
      </c>
      <c r="T1142" s="3" t="str">
        <f t="shared" si="106"/>
        <v>Printer</v>
      </c>
    </row>
    <row r="1143" spans="1:20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07"/>
        <v>1495.98</v>
      </c>
      <c r="P1143" t="str">
        <f t="shared" si="102"/>
        <v>Correct</v>
      </c>
      <c r="Q1143" t="str">
        <f t="shared" si="103"/>
        <v>February</v>
      </c>
      <c r="R1143" s="3">
        <f t="shared" si="104"/>
        <v>2025</v>
      </c>
      <c r="S1143" s="3" t="str">
        <f t="shared" si="105"/>
        <v>Q1</v>
      </c>
      <c r="T1143" s="3" t="str">
        <f t="shared" si="106"/>
        <v>Chair</v>
      </c>
    </row>
    <row r="1144" spans="1:20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07"/>
        <v>2780.4</v>
      </c>
      <c r="P1144" t="str">
        <f t="shared" si="102"/>
        <v>Correct</v>
      </c>
      <c r="Q1144" t="str">
        <f t="shared" si="103"/>
        <v>August</v>
      </c>
      <c r="R1144" s="3">
        <f t="shared" si="104"/>
        <v>2024</v>
      </c>
      <c r="S1144" s="3" t="str">
        <f t="shared" si="105"/>
        <v>Q3</v>
      </c>
      <c r="T1144" s="3" t="str">
        <f t="shared" si="106"/>
        <v>Phone</v>
      </c>
    </row>
    <row r="1145" spans="1:20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07"/>
        <v>381.61</v>
      </c>
      <c r="P1145" t="str">
        <f t="shared" si="102"/>
        <v>Correct</v>
      </c>
      <c r="Q1145" t="str">
        <f t="shared" si="103"/>
        <v>April</v>
      </c>
      <c r="R1145" s="3">
        <f t="shared" si="104"/>
        <v>2023</v>
      </c>
      <c r="S1145" s="3" t="str">
        <f t="shared" si="105"/>
        <v>Q2</v>
      </c>
      <c r="T1145" s="3" t="str">
        <f t="shared" si="106"/>
        <v>Chair</v>
      </c>
    </row>
    <row r="1146" spans="1:20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07"/>
        <v>2539.6999999999998</v>
      </c>
      <c r="P1146" t="str">
        <f t="shared" si="102"/>
        <v>Correct</v>
      </c>
      <c r="Q1146" t="str">
        <f t="shared" si="103"/>
        <v>February</v>
      </c>
      <c r="R1146" s="3">
        <f t="shared" si="104"/>
        <v>2023</v>
      </c>
      <c r="S1146" s="3" t="str">
        <f t="shared" si="105"/>
        <v>Q1</v>
      </c>
      <c r="T1146" s="3" t="str">
        <f t="shared" si="106"/>
        <v>Desk</v>
      </c>
    </row>
    <row r="1147" spans="1:20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07"/>
        <v>1714.59</v>
      </c>
      <c r="P1147" t="str">
        <f t="shared" si="102"/>
        <v>Correct</v>
      </c>
      <c r="Q1147" t="str">
        <f t="shared" si="103"/>
        <v>May</v>
      </c>
      <c r="R1147" s="3">
        <f t="shared" si="104"/>
        <v>2025</v>
      </c>
      <c r="S1147" s="3" t="str">
        <f t="shared" si="105"/>
        <v>Q2</v>
      </c>
      <c r="T1147" s="3" t="str">
        <f t="shared" si="106"/>
        <v>Desk</v>
      </c>
    </row>
    <row r="1148" spans="1:20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07"/>
        <v>2107.1999999999998</v>
      </c>
      <c r="P1148" t="str">
        <f t="shared" si="102"/>
        <v>Correct</v>
      </c>
      <c r="Q1148" t="str">
        <f t="shared" si="103"/>
        <v>October</v>
      </c>
      <c r="R1148" s="3">
        <f t="shared" si="104"/>
        <v>2024</v>
      </c>
      <c r="S1148" s="3" t="str">
        <f t="shared" si="105"/>
        <v>Q4</v>
      </c>
      <c r="T1148" s="3" t="str">
        <f t="shared" si="106"/>
        <v>Monitor</v>
      </c>
    </row>
    <row r="1149" spans="1:20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07"/>
        <v>1176.5999999999999</v>
      </c>
      <c r="P1149" t="str">
        <f t="shared" si="102"/>
        <v>Correct</v>
      </c>
      <c r="Q1149" t="str">
        <f t="shared" si="103"/>
        <v>January</v>
      </c>
      <c r="R1149" s="3">
        <f t="shared" si="104"/>
        <v>2025</v>
      </c>
      <c r="S1149" s="3" t="str">
        <f t="shared" si="105"/>
        <v>Q1</v>
      </c>
      <c r="T1149" s="3" t="str">
        <f t="shared" si="106"/>
        <v>Chair</v>
      </c>
    </row>
    <row r="1150" spans="1:20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07"/>
        <v>355.15</v>
      </c>
      <c r="P1150" t="str">
        <f t="shared" si="102"/>
        <v>Correct</v>
      </c>
      <c r="Q1150" t="str">
        <f t="shared" si="103"/>
        <v>June</v>
      </c>
      <c r="R1150" s="3">
        <f t="shared" si="104"/>
        <v>2024</v>
      </c>
      <c r="S1150" s="3" t="str">
        <f t="shared" si="105"/>
        <v>Q2</v>
      </c>
      <c r="T1150" s="3" t="str">
        <f t="shared" si="106"/>
        <v>Phone</v>
      </c>
    </row>
    <row r="1151" spans="1:20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07"/>
        <v>1390.58</v>
      </c>
      <c r="P1151" t="str">
        <f t="shared" si="102"/>
        <v>Correct</v>
      </c>
      <c r="Q1151" t="str">
        <f t="shared" si="103"/>
        <v>July</v>
      </c>
      <c r="R1151" s="3">
        <f t="shared" si="104"/>
        <v>2024</v>
      </c>
      <c r="S1151" s="3" t="str">
        <f t="shared" si="105"/>
        <v>Q3</v>
      </c>
      <c r="T1151" s="3" t="str">
        <f t="shared" si="106"/>
        <v>Chair</v>
      </c>
    </row>
    <row r="1152" spans="1:20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07"/>
        <v>1210.5999999999999</v>
      </c>
      <c r="P1152" t="str">
        <f t="shared" si="102"/>
        <v>Correct</v>
      </c>
      <c r="Q1152" t="str">
        <f t="shared" si="103"/>
        <v>February</v>
      </c>
      <c r="R1152" s="3">
        <f t="shared" si="104"/>
        <v>2023</v>
      </c>
      <c r="S1152" s="3" t="str">
        <f t="shared" si="105"/>
        <v>Q1</v>
      </c>
      <c r="T1152" s="3" t="str">
        <f t="shared" si="106"/>
        <v>Desk</v>
      </c>
    </row>
    <row r="1153" spans="1:20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07"/>
        <v>1216.08</v>
      </c>
      <c r="P1153" t="str">
        <f t="shared" si="102"/>
        <v>Correct</v>
      </c>
      <c r="Q1153" t="str">
        <f t="shared" si="103"/>
        <v>January</v>
      </c>
      <c r="R1153" s="3">
        <f t="shared" si="104"/>
        <v>2023</v>
      </c>
      <c r="S1153" s="3" t="str">
        <f t="shared" si="105"/>
        <v>Q1</v>
      </c>
      <c r="T1153" s="3" t="str">
        <f t="shared" si="106"/>
        <v>Chair</v>
      </c>
    </row>
    <row r="1154" spans="1:20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07"/>
        <v>688.36</v>
      </c>
      <c r="P1154" t="str">
        <f t="shared" ref="P1154:P1217" si="108">IF(O1154=N1154,"Correct","Error")</f>
        <v>Correct</v>
      </c>
      <c r="Q1154" t="str">
        <f t="shared" ref="Q1154:Q1201" si="109">TEXT(B1154,"MMMM")</f>
        <v>November</v>
      </c>
      <c r="R1154" s="3">
        <f t="shared" ref="R1154:R1201" si="110">YEAR(B1154)</f>
        <v>2023</v>
      </c>
      <c r="S1154" s="3" t="str">
        <f t="shared" ref="S1154:S1201" si="111">"Q"&amp;ROUNDUP(MONTH(B1154)/3,0)</f>
        <v>Q4</v>
      </c>
      <c r="T1154" s="3" t="str">
        <f t="shared" ref="T1154:T1201" si="112">TRIM(D1154)</f>
        <v>Tablet</v>
      </c>
    </row>
    <row r="1155" spans="1:20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13">E1155*F1155</f>
        <v>2786.84</v>
      </c>
      <c r="P1155" t="str">
        <f t="shared" si="108"/>
        <v>Correct</v>
      </c>
      <c r="Q1155" t="str">
        <f t="shared" si="109"/>
        <v>December</v>
      </c>
      <c r="R1155" s="3">
        <f t="shared" si="110"/>
        <v>2024</v>
      </c>
      <c r="S1155" s="3" t="str">
        <f t="shared" si="111"/>
        <v>Q4</v>
      </c>
      <c r="T1155" s="3" t="str">
        <f t="shared" si="112"/>
        <v>Monitor</v>
      </c>
    </row>
    <row r="1156" spans="1:20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4283</v>
      </c>
      <c r="M1156" t="s">
        <v>4278</v>
      </c>
      <c r="N1156">
        <v>595.89</v>
      </c>
      <c r="O1156">
        <f t="shared" si="113"/>
        <v>595.89</v>
      </c>
      <c r="P1156" t="str">
        <f t="shared" si="108"/>
        <v>Correct</v>
      </c>
      <c r="Q1156" t="str">
        <f t="shared" si="109"/>
        <v>June</v>
      </c>
      <c r="R1156" s="3">
        <f t="shared" si="110"/>
        <v>2025</v>
      </c>
      <c r="S1156" s="3" t="str">
        <f t="shared" si="111"/>
        <v>Q2</v>
      </c>
      <c r="T1156" s="3" t="str">
        <f t="shared" si="112"/>
        <v>Monitor</v>
      </c>
    </row>
    <row r="1157" spans="1:20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13"/>
        <v>2138.2800000000002</v>
      </c>
      <c r="P1157" t="str">
        <f t="shared" si="108"/>
        <v>Correct</v>
      </c>
      <c r="Q1157" t="str">
        <f t="shared" si="109"/>
        <v>August</v>
      </c>
      <c r="R1157" s="3">
        <f t="shared" si="110"/>
        <v>2023</v>
      </c>
      <c r="S1157" s="3" t="str">
        <f t="shared" si="111"/>
        <v>Q3</v>
      </c>
      <c r="T1157" s="3" t="str">
        <f t="shared" si="112"/>
        <v>Printer</v>
      </c>
    </row>
    <row r="1158" spans="1:20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13"/>
        <v>2763.12</v>
      </c>
      <c r="P1158" t="str">
        <f t="shared" si="108"/>
        <v>Correct</v>
      </c>
      <c r="Q1158" t="str">
        <f t="shared" si="109"/>
        <v>July</v>
      </c>
      <c r="R1158" s="3">
        <f t="shared" si="110"/>
        <v>2023</v>
      </c>
      <c r="S1158" s="3" t="str">
        <f t="shared" si="111"/>
        <v>Q3</v>
      </c>
      <c r="T1158" s="3" t="str">
        <f t="shared" si="112"/>
        <v>Laptop</v>
      </c>
    </row>
    <row r="1159" spans="1:20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13"/>
        <v>904.65000000000009</v>
      </c>
      <c r="P1159" t="str">
        <f t="shared" si="108"/>
        <v>Correct</v>
      </c>
      <c r="Q1159" t="str">
        <f t="shared" si="109"/>
        <v>May</v>
      </c>
      <c r="R1159" s="3">
        <f t="shared" si="110"/>
        <v>2024</v>
      </c>
      <c r="S1159" s="3" t="str">
        <f t="shared" si="111"/>
        <v>Q2</v>
      </c>
      <c r="T1159" s="3" t="str">
        <f t="shared" si="112"/>
        <v>Monitor</v>
      </c>
    </row>
    <row r="1160" spans="1:20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13"/>
        <v>109.68</v>
      </c>
      <c r="P1160" t="str">
        <f t="shared" si="108"/>
        <v>Correct</v>
      </c>
      <c r="Q1160" t="str">
        <f t="shared" si="109"/>
        <v>April</v>
      </c>
      <c r="R1160" s="3">
        <f t="shared" si="110"/>
        <v>2023</v>
      </c>
      <c r="S1160" s="3" t="str">
        <f t="shared" si="111"/>
        <v>Q2</v>
      </c>
      <c r="T1160" s="3" t="str">
        <f t="shared" si="112"/>
        <v>Monitor</v>
      </c>
    </row>
    <row r="1161" spans="1:20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13"/>
        <v>1866.8</v>
      </c>
      <c r="P1161" t="str">
        <f t="shared" si="108"/>
        <v>Correct</v>
      </c>
      <c r="Q1161" t="str">
        <f t="shared" si="109"/>
        <v>February</v>
      </c>
      <c r="R1161" s="3">
        <f t="shared" si="110"/>
        <v>2024</v>
      </c>
      <c r="S1161" s="3" t="str">
        <f t="shared" si="111"/>
        <v>Q1</v>
      </c>
      <c r="T1161" s="3" t="str">
        <f t="shared" si="112"/>
        <v>Desk</v>
      </c>
    </row>
    <row r="1162" spans="1:20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13"/>
        <v>541.64</v>
      </c>
      <c r="P1162" t="str">
        <f t="shared" si="108"/>
        <v>Correct</v>
      </c>
      <c r="Q1162" t="str">
        <f t="shared" si="109"/>
        <v>September</v>
      </c>
      <c r="R1162" s="3">
        <f t="shared" si="110"/>
        <v>2024</v>
      </c>
      <c r="S1162" s="3" t="str">
        <f t="shared" si="111"/>
        <v>Q3</v>
      </c>
      <c r="T1162" s="3" t="str">
        <f t="shared" si="112"/>
        <v>Desk</v>
      </c>
    </row>
    <row r="1163" spans="1:20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13"/>
        <v>11.39</v>
      </c>
      <c r="P1163" t="str">
        <f t="shared" si="108"/>
        <v>Correct</v>
      </c>
      <c r="Q1163" t="str">
        <f t="shared" si="109"/>
        <v>October</v>
      </c>
      <c r="R1163" s="3">
        <f t="shared" si="110"/>
        <v>2023</v>
      </c>
      <c r="S1163" s="3" t="str">
        <f t="shared" si="111"/>
        <v>Q4</v>
      </c>
      <c r="T1163" s="3" t="str">
        <f t="shared" si="112"/>
        <v>Phone</v>
      </c>
    </row>
    <row r="1164" spans="1:20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13"/>
        <v>448.74</v>
      </c>
      <c r="P1164" t="str">
        <f t="shared" si="108"/>
        <v>Correct</v>
      </c>
      <c r="Q1164" t="str">
        <f t="shared" si="109"/>
        <v>March</v>
      </c>
      <c r="R1164" s="3">
        <f t="shared" si="110"/>
        <v>2025</v>
      </c>
      <c r="S1164" s="3" t="str">
        <f t="shared" si="111"/>
        <v>Q1</v>
      </c>
      <c r="T1164" s="3" t="str">
        <f t="shared" si="112"/>
        <v>Phone</v>
      </c>
    </row>
    <row r="1165" spans="1:20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13"/>
        <v>918.87000000000012</v>
      </c>
      <c r="P1165" t="str">
        <f t="shared" si="108"/>
        <v>Correct</v>
      </c>
      <c r="Q1165" t="str">
        <f t="shared" si="109"/>
        <v>June</v>
      </c>
      <c r="R1165" s="3">
        <f t="shared" si="110"/>
        <v>2024</v>
      </c>
      <c r="S1165" s="3" t="str">
        <f t="shared" si="111"/>
        <v>Q2</v>
      </c>
      <c r="T1165" s="3" t="str">
        <f t="shared" si="112"/>
        <v>Laptop</v>
      </c>
    </row>
    <row r="1166" spans="1:20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13"/>
        <v>1577.85</v>
      </c>
      <c r="P1166" t="str">
        <f t="shared" si="108"/>
        <v>Correct</v>
      </c>
      <c r="Q1166" t="str">
        <f t="shared" si="109"/>
        <v>January</v>
      </c>
      <c r="R1166" s="3">
        <f t="shared" si="110"/>
        <v>2024</v>
      </c>
      <c r="S1166" s="3" t="str">
        <f t="shared" si="111"/>
        <v>Q1</v>
      </c>
      <c r="T1166" s="3" t="str">
        <f t="shared" si="112"/>
        <v>Tablet</v>
      </c>
    </row>
    <row r="1167" spans="1:20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13"/>
        <v>671.37</v>
      </c>
      <c r="P1167" t="str">
        <f t="shared" si="108"/>
        <v>Correct</v>
      </c>
      <c r="Q1167" t="str">
        <f t="shared" si="109"/>
        <v>July</v>
      </c>
      <c r="R1167" s="3">
        <f t="shared" si="110"/>
        <v>2023</v>
      </c>
      <c r="S1167" s="3" t="str">
        <f t="shared" si="111"/>
        <v>Q3</v>
      </c>
      <c r="T1167" s="3" t="str">
        <f t="shared" si="112"/>
        <v>Chair</v>
      </c>
    </row>
    <row r="1168" spans="1:20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13"/>
        <v>973.41000000000008</v>
      </c>
      <c r="P1168" t="str">
        <f t="shared" si="108"/>
        <v>Correct</v>
      </c>
      <c r="Q1168" t="str">
        <f t="shared" si="109"/>
        <v>July</v>
      </c>
      <c r="R1168" s="3">
        <f t="shared" si="110"/>
        <v>2023</v>
      </c>
      <c r="S1168" s="3" t="str">
        <f t="shared" si="111"/>
        <v>Q3</v>
      </c>
      <c r="T1168" s="3" t="str">
        <f t="shared" si="112"/>
        <v>Chair</v>
      </c>
    </row>
    <row r="1169" spans="1:20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13"/>
        <v>185.74</v>
      </c>
      <c r="P1169" t="str">
        <f t="shared" si="108"/>
        <v>Correct</v>
      </c>
      <c r="Q1169" t="str">
        <f t="shared" si="109"/>
        <v>October</v>
      </c>
      <c r="R1169" s="3">
        <f t="shared" si="110"/>
        <v>2023</v>
      </c>
      <c r="S1169" s="3" t="str">
        <f t="shared" si="111"/>
        <v>Q4</v>
      </c>
      <c r="T1169" s="3" t="str">
        <f t="shared" si="112"/>
        <v>Printer</v>
      </c>
    </row>
    <row r="1170" spans="1:20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13"/>
        <v>662.84</v>
      </c>
      <c r="P1170" t="str">
        <f t="shared" si="108"/>
        <v>Correct</v>
      </c>
      <c r="Q1170" t="str">
        <f t="shared" si="109"/>
        <v>April</v>
      </c>
      <c r="R1170" s="3">
        <f t="shared" si="110"/>
        <v>2023</v>
      </c>
      <c r="S1170" s="3" t="str">
        <f t="shared" si="111"/>
        <v>Q2</v>
      </c>
      <c r="T1170" s="3" t="str">
        <f t="shared" si="112"/>
        <v>Laptop</v>
      </c>
    </row>
    <row r="1171" spans="1:20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13"/>
        <v>525.42999999999995</v>
      </c>
      <c r="P1171" t="str">
        <f t="shared" si="108"/>
        <v>Correct</v>
      </c>
      <c r="Q1171" t="str">
        <f t="shared" si="109"/>
        <v>December</v>
      </c>
      <c r="R1171" s="3">
        <f t="shared" si="110"/>
        <v>2024</v>
      </c>
      <c r="S1171" s="3" t="str">
        <f t="shared" si="111"/>
        <v>Q4</v>
      </c>
      <c r="T1171" s="3" t="str">
        <f t="shared" si="112"/>
        <v>Chair</v>
      </c>
    </row>
    <row r="1172" spans="1:20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13"/>
        <v>1394.38</v>
      </c>
      <c r="P1172" t="str">
        <f t="shared" si="108"/>
        <v>Correct</v>
      </c>
      <c r="Q1172" t="str">
        <f t="shared" si="109"/>
        <v>August</v>
      </c>
      <c r="R1172" s="3">
        <f t="shared" si="110"/>
        <v>2023</v>
      </c>
      <c r="S1172" s="3" t="str">
        <f t="shared" si="111"/>
        <v>Q3</v>
      </c>
      <c r="T1172" s="3" t="str">
        <f t="shared" si="112"/>
        <v>Printer</v>
      </c>
    </row>
    <row r="1173" spans="1:20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13"/>
        <v>2073.6</v>
      </c>
      <c r="P1173" t="str">
        <f t="shared" si="108"/>
        <v>Correct</v>
      </c>
      <c r="Q1173" t="str">
        <f t="shared" si="109"/>
        <v>August</v>
      </c>
      <c r="R1173" s="3">
        <f t="shared" si="110"/>
        <v>2023</v>
      </c>
      <c r="S1173" s="3" t="str">
        <f t="shared" si="111"/>
        <v>Q3</v>
      </c>
      <c r="T1173" s="3" t="str">
        <f t="shared" si="112"/>
        <v>Phone</v>
      </c>
    </row>
    <row r="1174" spans="1:20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13"/>
        <v>395.88</v>
      </c>
      <c r="P1174" t="str">
        <f t="shared" si="108"/>
        <v>Correct</v>
      </c>
      <c r="Q1174" t="str">
        <f t="shared" si="109"/>
        <v>February</v>
      </c>
      <c r="R1174" s="3">
        <f t="shared" si="110"/>
        <v>2025</v>
      </c>
      <c r="S1174" s="3" t="str">
        <f t="shared" si="111"/>
        <v>Q1</v>
      </c>
      <c r="T1174" s="3" t="str">
        <f t="shared" si="112"/>
        <v>Desk</v>
      </c>
    </row>
    <row r="1175" spans="1:20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13"/>
        <v>208.36</v>
      </c>
      <c r="P1175" t="str">
        <f t="shared" si="108"/>
        <v>Correct</v>
      </c>
      <c r="Q1175" t="str">
        <f t="shared" si="109"/>
        <v>October</v>
      </c>
      <c r="R1175" s="3">
        <f t="shared" si="110"/>
        <v>2024</v>
      </c>
      <c r="S1175" s="3" t="str">
        <f t="shared" si="111"/>
        <v>Q4</v>
      </c>
      <c r="T1175" s="3" t="str">
        <f t="shared" si="112"/>
        <v>Monitor</v>
      </c>
    </row>
    <row r="1176" spans="1:20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13"/>
        <v>667.02</v>
      </c>
      <c r="P1176" t="str">
        <f t="shared" si="108"/>
        <v>Correct</v>
      </c>
      <c r="Q1176" t="str">
        <f t="shared" si="109"/>
        <v>November</v>
      </c>
      <c r="R1176" s="3">
        <f t="shared" si="110"/>
        <v>2023</v>
      </c>
      <c r="S1176" s="3" t="str">
        <f t="shared" si="111"/>
        <v>Q4</v>
      </c>
      <c r="T1176" s="3" t="str">
        <f t="shared" si="112"/>
        <v>Printer</v>
      </c>
    </row>
    <row r="1177" spans="1:20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13"/>
        <v>275.21999999999997</v>
      </c>
      <c r="P1177" t="str">
        <f t="shared" si="108"/>
        <v>Correct</v>
      </c>
      <c r="Q1177" t="str">
        <f t="shared" si="109"/>
        <v>September</v>
      </c>
      <c r="R1177" s="3">
        <f t="shared" si="110"/>
        <v>2024</v>
      </c>
      <c r="S1177" s="3" t="str">
        <f t="shared" si="111"/>
        <v>Q3</v>
      </c>
      <c r="T1177" s="3" t="str">
        <f t="shared" si="112"/>
        <v>Printer</v>
      </c>
    </row>
    <row r="1178" spans="1:20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13"/>
        <v>427.66</v>
      </c>
      <c r="P1178" t="str">
        <f t="shared" si="108"/>
        <v>Correct</v>
      </c>
      <c r="Q1178" t="str">
        <f t="shared" si="109"/>
        <v>August</v>
      </c>
      <c r="R1178" s="3">
        <f t="shared" si="110"/>
        <v>2023</v>
      </c>
      <c r="S1178" s="3" t="str">
        <f t="shared" si="111"/>
        <v>Q3</v>
      </c>
      <c r="T1178" s="3" t="str">
        <f t="shared" si="112"/>
        <v>Tablet</v>
      </c>
    </row>
    <row r="1179" spans="1:20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13"/>
        <v>127.55</v>
      </c>
      <c r="P1179" t="str">
        <f t="shared" si="108"/>
        <v>Correct</v>
      </c>
      <c r="Q1179" t="str">
        <f t="shared" si="109"/>
        <v>April</v>
      </c>
      <c r="R1179" s="3">
        <f t="shared" si="110"/>
        <v>2023</v>
      </c>
      <c r="S1179" s="3" t="str">
        <f t="shared" si="111"/>
        <v>Q2</v>
      </c>
      <c r="T1179" s="3" t="str">
        <f t="shared" si="112"/>
        <v>Printer</v>
      </c>
    </row>
    <row r="1180" spans="1:20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13"/>
        <v>70.239999999999995</v>
      </c>
      <c r="P1180" t="str">
        <f t="shared" si="108"/>
        <v>Correct</v>
      </c>
      <c r="Q1180" t="str">
        <f t="shared" si="109"/>
        <v>September</v>
      </c>
      <c r="R1180" s="3">
        <f t="shared" si="110"/>
        <v>2024</v>
      </c>
      <c r="S1180" s="3" t="str">
        <f t="shared" si="111"/>
        <v>Q3</v>
      </c>
      <c r="T1180" s="3" t="str">
        <f t="shared" si="112"/>
        <v>Monitor</v>
      </c>
    </row>
    <row r="1181" spans="1:20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13"/>
        <v>2592.75</v>
      </c>
      <c r="P1181" t="str">
        <f t="shared" si="108"/>
        <v>Correct</v>
      </c>
      <c r="Q1181" t="str">
        <f t="shared" si="109"/>
        <v>January</v>
      </c>
      <c r="R1181" s="3">
        <f t="shared" si="110"/>
        <v>2023</v>
      </c>
      <c r="S1181" s="3" t="str">
        <f t="shared" si="111"/>
        <v>Q1</v>
      </c>
      <c r="T1181" s="3" t="str">
        <f t="shared" si="112"/>
        <v>Laptop</v>
      </c>
    </row>
    <row r="1182" spans="1:20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13"/>
        <v>1193.44</v>
      </c>
      <c r="P1182" t="str">
        <f t="shared" si="108"/>
        <v>Correct</v>
      </c>
      <c r="Q1182" t="str">
        <f t="shared" si="109"/>
        <v>October</v>
      </c>
      <c r="R1182" s="3">
        <f t="shared" si="110"/>
        <v>2023</v>
      </c>
      <c r="S1182" s="3" t="str">
        <f t="shared" si="111"/>
        <v>Q4</v>
      </c>
      <c r="T1182" s="3" t="str">
        <f t="shared" si="112"/>
        <v>Chair</v>
      </c>
    </row>
    <row r="1183" spans="1:20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13"/>
        <v>476.22</v>
      </c>
      <c r="P1183" t="str">
        <f t="shared" si="108"/>
        <v>Correct</v>
      </c>
      <c r="Q1183" t="str">
        <f t="shared" si="109"/>
        <v>July</v>
      </c>
      <c r="R1183" s="3">
        <f t="shared" si="110"/>
        <v>2023</v>
      </c>
      <c r="S1183" s="3" t="str">
        <f t="shared" si="111"/>
        <v>Q3</v>
      </c>
      <c r="T1183" s="3" t="str">
        <f t="shared" si="112"/>
        <v>Desk</v>
      </c>
    </row>
    <row r="1184" spans="1:20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13"/>
        <v>840.58</v>
      </c>
      <c r="P1184" t="str">
        <f t="shared" si="108"/>
        <v>Correct</v>
      </c>
      <c r="Q1184" t="str">
        <f t="shared" si="109"/>
        <v>June</v>
      </c>
      <c r="R1184" s="3">
        <f t="shared" si="110"/>
        <v>2025</v>
      </c>
      <c r="S1184" s="3" t="str">
        <f t="shared" si="111"/>
        <v>Q2</v>
      </c>
      <c r="T1184" s="3" t="str">
        <f t="shared" si="112"/>
        <v>Chair</v>
      </c>
    </row>
    <row r="1185" spans="1:20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13"/>
        <v>281.52</v>
      </c>
      <c r="P1185" t="str">
        <f t="shared" si="108"/>
        <v>Correct</v>
      </c>
      <c r="Q1185" t="str">
        <f t="shared" si="109"/>
        <v>April</v>
      </c>
      <c r="R1185" s="3">
        <f t="shared" si="110"/>
        <v>2023</v>
      </c>
      <c r="S1185" s="3" t="str">
        <f t="shared" si="111"/>
        <v>Q2</v>
      </c>
      <c r="T1185" s="3" t="str">
        <f t="shared" si="112"/>
        <v>Desk</v>
      </c>
    </row>
    <row r="1186" spans="1:20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13"/>
        <v>204.08</v>
      </c>
      <c r="P1186" t="str">
        <f t="shared" si="108"/>
        <v>Correct</v>
      </c>
      <c r="Q1186" t="str">
        <f t="shared" si="109"/>
        <v>September</v>
      </c>
      <c r="R1186" s="3">
        <f t="shared" si="110"/>
        <v>2023</v>
      </c>
      <c r="S1186" s="3" t="str">
        <f t="shared" si="111"/>
        <v>Q3</v>
      </c>
      <c r="T1186" s="3" t="str">
        <f t="shared" si="112"/>
        <v>Laptop</v>
      </c>
    </row>
    <row r="1187" spans="1:20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13"/>
        <v>343.31</v>
      </c>
      <c r="P1187" t="str">
        <f t="shared" si="108"/>
        <v>Correct</v>
      </c>
      <c r="Q1187" t="str">
        <f t="shared" si="109"/>
        <v>July</v>
      </c>
      <c r="R1187" s="3">
        <f t="shared" si="110"/>
        <v>2024</v>
      </c>
      <c r="S1187" s="3" t="str">
        <f t="shared" si="111"/>
        <v>Q3</v>
      </c>
      <c r="T1187" s="3" t="str">
        <f t="shared" si="112"/>
        <v>Chair</v>
      </c>
    </row>
    <row r="1188" spans="1:20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13"/>
        <v>163.32</v>
      </c>
      <c r="P1188" t="str">
        <f t="shared" si="108"/>
        <v>Correct</v>
      </c>
      <c r="Q1188" t="str">
        <f t="shared" si="109"/>
        <v>November</v>
      </c>
      <c r="R1188" s="3">
        <f t="shared" si="110"/>
        <v>2023</v>
      </c>
      <c r="S1188" s="3" t="str">
        <f t="shared" si="111"/>
        <v>Q4</v>
      </c>
      <c r="T1188" s="3" t="str">
        <f t="shared" si="112"/>
        <v>Monitor</v>
      </c>
    </row>
    <row r="1189" spans="1:20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13"/>
        <v>369.2</v>
      </c>
      <c r="P1189" t="str">
        <f t="shared" si="108"/>
        <v>Correct</v>
      </c>
      <c r="Q1189" t="str">
        <f t="shared" si="109"/>
        <v>March</v>
      </c>
      <c r="R1189" s="3">
        <f t="shared" si="110"/>
        <v>2024</v>
      </c>
      <c r="S1189" s="3" t="str">
        <f t="shared" si="111"/>
        <v>Q1</v>
      </c>
      <c r="T1189" s="3" t="str">
        <f t="shared" si="112"/>
        <v>Desk</v>
      </c>
    </row>
    <row r="1190" spans="1:20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13"/>
        <v>742.58</v>
      </c>
      <c r="P1190" t="str">
        <f t="shared" si="108"/>
        <v>Correct</v>
      </c>
      <c r="Q1190" t="str">
        <f t="shared" si="109"/>
        <v>October</v>
      </c>
      <c r="R1190" s="3">
        <f t="shared" si="110"/>
        <v>2023</v>
      </c>
      <c r="S1190" s="3" t="str">
        <f t="shared" si="111"/>
        <v>Q4</v>
      </c>
      <c r="T1190" s="3" t="str">
        <f t="shared" si="112"/>
        <v>Printer</v>
      </c>
    </row>
    <row r="1191" spans="1:20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13"/>
        <v>1946.1000000000001</v>
      </c>
      <c r="P1191" t="str">
        <f t="shared" si="108"/>
        <v>Correct</v>
      </c>
      <c r="Q1191" t="str">
        <f t="shared" si="109"/>
        <v>August</v>
      </c>
      <c r="R1191" s="3">
        <f t="shared" si="110"/>
        <v>2024</v>
      </c>
      <c r="S1191" s="3" t="str">
        <f t="shared" si="111"/>
        <v>Q3</v>
      </c>
      <c r="T1191" s="3" t="str">
        <f t="shared" si="112"/>
        <v>Tablet</v>
      </c>
    </row>
    <row r="1192" spans="1:20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13"/>
        <v>1849.17</v>
      </c>
      <c r="P1192" t="str">
        <f t="shared" si="108"/>
        <v>Correct</v>
      </c>
      <c r="Q1192" t="str">
        <f t="shared" si="109"/>
        <v>June</v>
      </c>
      <c r="R1192" s="3">
        <f t="shared" si="110"/>
        <v>2025</v>
      </c>
      <c r="S1192" s="3" t="str">
        <f t="shared" si="111"/>
        <v>Q2</v>
      </c>
      <c r="T1192" s="3" t="str">
        <f t="shared" si="112"/>
        <v>Desk</v>
      </c>
    </row>
    <row r="1193" spans="1:20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13"/>
        <v>1505.72</v>
      </c>
      <c r="P1193" t="str">
        <f t="shared" si="108"/>
        <v>Correct</v>
      </c>
      <c r="Q1193" t="str">
        <f t="shared" si="109"/>
        <v>February</v>
      </c>
      <c r="R1193" s="3">
        <f t="shared" si="110"/>
        <v>2025</v>
      </c>
      <c r="S1193" s="3" t="str">
        <f t="shared" si="111"/>
        <v>Q1</v>
      </c>
      <c r="T1193" s="3" t="str">
        <f t="shared" si="112"/>
        <v>Desk</v>
      </c>
    </row>
    <row r="1194" spans="1:20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13"/>
        <v>1298.5500000000002</v>
      </c>
      <c r="P1194" t="str">
        <f t="shared" si="108"/>
        <v>Correct</v>
      </c>
      <c r="Q1194" t="str">
        <f t="shared" si="109"/>
        <v>February</v>
      </c>
      <c r="R1194" s="3">
        <f t="shared" si="110"/>
        <v>2024</v>
      </c>
      <c r="S1194" s="3" t="str">
        <f t="shared" si="111"/>
        <v>Q1</v>
      </c>
      <c r="T1194" s="3" t="str">
        <f t="shared" si="112"/>
        <v>Chair</v>
      </c>
    </row>
    <row r="1195" spans="1:20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13"/>
        <v>687.89</v>
      </c>
      <c r="P1195" t="str">
        <f t="shared" si="108"/>
        <v>Correct</v>
      </c>
      <c r="Q1195" t="str">
        <f t="shared" si="109"/>
        <v>June</v>
      </c>
      <c r="R1195" s="3">
        <f t="shared" si="110"/>
        <v>2025</v>
      </c>
      <c r="S1195" s="3" t="str">
        <f t="shared" si="111"/>
        <v>Q2</v>
      </c>
      <c r="T1195" s="3" t="str">
        <f t="shared" si="112"/>
        <v>Tablet</v>
      </c>
    </row>
    <row r="1196" spans="1:20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13"/>
        <v>568.31999999999994</v>
      </c>
      <c r="P1196" t="str">
        <f t="shared" si="108"/>
        <v>Correct</v>
      </c>
      <c r="Q1196" t="str">
        <f t="shared" si="109"/>
        <v>November</v>
      </c>
      <c r="R1196" s="3">
        <f t="shared" si="110"/>
        <v>2023</v>
      </c>
      <c r="S1196" s="3" t="str">
        <f t="shared" si="111"/>
        <v>Q4</v>
      </c>
      <c r="T1196" s="3" t="str">
        <f t="shared" si="112"/>
        <v>Printer</v>
      </c>
    </row>
    <row r="1197" spans="1:20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13"/>
        <v>107.04</v>
      </c>
      <c r="P1197" t="str">
        <f t="shared" si="108"/>
        <v>Correct</v>
      </c>
      <c r="Q1197" t="str">
        <f t="shared" si="109"/>
        <v>June</v>
      </c>
      <c r="R1197" s="3">
        <f t="shared" si="110"/>
        <v>2024</v>
      </c>
      <c r="S1197" s="3" t="str">
        <f t="shared" si="111"/>
        <v>Q2</v>
      </c>
      <c r="T1197" s="3" t="str">
        <f t="shared" si="112"/>
        <v>Desk</v>
      </c>
    </row>
    <row r="1198" spans="1:20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13"/>
        <v>1325.06</v>
      </c>
      <c r="P1198" t="str">
        <f t="shared" si="108"/>
        <v>Correct</v>
      </c>
      <c r="Q1198" t="str">
        <f t="shared" si="109"/>
        <v>March</v>
      </c>
      <c r="R1198" s="3">
        <f t="shared" si="110"/>
        <v>2024</v>
      </c>
      <c r="S1198" s="3" t="str">
        <f t="shared" si="111"/>
        <v>Q1</v>
      </c>
      <c r="T1198" s="3" t="str">
        <f t="shared" si="112"/>
        <v>Monitor</v>
      </c>
    </row>
    <row r="1199" spans="1:20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13"/>
        <v>873.68</v>
      </c>
      <c r="P1199" t="str">
        <f t="shared" si="108"/>
        <v>Correct</v>
      </c>
      <c r="Q1199" t="str">
        <f t="shared" si="109"/>
        <v>July</v>
      </c>
      <c r="R1199" s="3">
        <f t="shared" si="110"/>
        <v>2023</v>
      </c>
      <c r="S1199" s="3" t="str">
        <f t="shared" si="111"/>
        <v>Q3</v>
      </c>
      <c r="T1199" s="3" t="str">
        <f t="shared" si="112"/>
        <v>Tablet</v>
      </c>
    </row>
    <row r="1200" spans="1:20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13"/>
        <v>1050.08</v>
      </c>
      <c r="P1200" t="str">
        <f t="shared" si="108"/>
        <v>Correct</v>
      </c>
      <c r="Q1200" t="str">
        <f t="shared" si="109"/>
        <v>August</v>
      </c>
      <c r="R1200" s="3">
        <f t="shared" si="110"/>
        <v>2024</v>
      </c>
      <c r="S1200" s="3" t="str">
        <f t="shared" si="111"/>
        <v>Q3</v>
      </c>
      <c r="T1200" s="3" t="str">
        <f t="shared" si="112"/>
        <v>Chair</v>
      </c>
    </row>
    <row r="1201" spans="1:20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13"/>
        <v>2242.3200000000002</v>
      </c>
      <c r="P1201" t="str">
        <f t="shared" si="108"/>
        <v>Correct</v>
      </c>
      <c r="Q1201" t="str">
        <f t="shared" si="109"/>
        <v>June</v>
      </c>
      <c r="R1201" s="3">
        <f t="shared" si="110"/>
        <v>2023</v>
      </c>
      <c r="S1201" s="3" t="str">
        <f t="shared" si="111"/>
        <v>Q2</v>
      </c>
      <c r="T1201" s="3" t="str">
        <f t="shared" si="112"/>
        <v>Tablet</v>
      </c>
    </row>
    <row r="1207" spans="1:20" x14ac:dyDescent="0.3">
      <c r="M1207" t="str">
        <f>TRIM(A2)</f>
        <v>ORD200000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tarhat fatima</cp:lastModifiedBy>
  <dcterms:created xsi:type="dcterms:W3CDTF">2025-06-21T13:19:12Z</dcterms:created>
  <dcterms:modified xsi:type="dcterms:W3CDTF">2026-06-12T06:14:56Z</dcterms:modified>
</cp:coreProperties>
</file>